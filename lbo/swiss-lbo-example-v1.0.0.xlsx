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over" state="visible" r:id="rId4"/>
    <sheet sheetId="2" name="Inputs" state="visible" r:id="rId5"/>
    <sheet sheetId="3" name="Transaction" state="visible" r:id="rId6"/>
    <sheet sheetId="4" name="Operations" state="visible" r:id="rId7"/>
    <sheet sheetId="5" name="Debt Schedule" state="visible" r:id="rId8"/>
    <sheet sheetId="6" name="Returns" state="visible" r:id="rId9"/>
    <sheet sheetId="7" name="Sensitivities" state="visible" r:id="rId10"/>
    <sheet sheetId="8" name="Checks" state="visible" r:id="rId11"/>
    <sheet sheetId="9" name="Settings" state="visible" r:id="rId12"/>
  </sheets>
  <definedNames>
    <definedName name="Min_Years">Settings!$C$5</definedName>
    <definedName name="Max_Years">Settings!$C$6</definedName>
    <definedName name="Step_Multiple">Settings!$C$7</definedName>
    <definedName name="Step_Leverage">Settings!$C$8</definedName>
    <definedName name="Check_Tolerance">Settings!$C$9</definedName>
    <definedName name="IRR_Tolerance">Settings!$C$10</definedName>
    <definedName name="Company_Name">Inputs!$E$5</definedName>
    <definedName name="Holding_Period">Inputs!$E$6</definedName>
    <definedName name="Entry_Method">Inputs!$E$7</definedName>
    <definedName name="Entry_Multiple">Inputs!$E$8</definedName>
    <definedName name="Entry_Amount">Inputs!$E$9</definedName>
    <definedName name="Exit_Mode">Inputs!$E$10</definedName>
    <definedName name="Exit_Multiple">Inputs!$E$11</definedName>
    <definedName name="Exit_Cost">Inputs!$E$12</definedName>
    <definedName name="Target_IRR">Inputs!$E$13</definedName>
    <definedName name="Op_Build">Inputs!$E$16</definedName>
    <definedName name="EBITDA_Input">Inputs!$E$18</definedName>
    <definedName name="EBITDA_Growth">Inputs!$E$19</definedName>
    <definedName name="DA_EBITDA">Inputs!$E$20</definedName>
    <definedName name="Capex_EBITDA">Inputs!$E$21</definedName>
    <definedName name="NWC_EBITDA">Inputs!$E$22</definedName>
    <definedName name="Revenue_0">Inputs!$E$24</definedName>
    <definedName name="Margin_0">Inputs!$E$25</definedName>
    <definedName name="DA_Revenue">Inputs!$E$26</definedName>
    <definedName name="Capex_Revenue">Inputs!$E$27</definedName>
    <definedName name="NWC_Revenue">Inputs!$E$28</definedName>
    <definedName name="Scenario">Inputs!$E$29</definedName>
    <definedName name="Growth_Bear">Inputs!$F$31:$J$31</definedName>
    <definedName name="Growth_Base">Inputs!$F$32:$J$32</definedName>
    <definedName name="Growth_Bull">Inputs!$F$33:$J$33</definedName>
    <definedName name="Margin_Bear">Inputs!$F$34:$J$34</definedName>
    <definedName name="Margin_Base">Inputs!$F$35:$J$35</definedName>
    <definedName name="Margin_Bull">Inputs!$F$36:$J$36</definedName>
    <definedName name="Year_Index">Inputs!$F$39:$L$39</definedName>
    <definedName name="SARON_Path">Inputs!$F$40:$L$40</definedName>
    <definedName name="SARON_Floor">Inputs!$E$41</definedName>
    <definedName name="Senior_Multiple">Inputs!$E$43</definedName>
    <definedName name="Senior_Margin">Inputs!$E$44</definedName>
    <definedName name="Senior_Amort">Inputs!$E$45</definedName>
    <definedName name="Sweep_Share">Inputs!$E$46</definedName>
    <definedName name="Junior_Multiple">Inputs!$E$48</definedName>
    <definedName name="Junior_Type">Inputs!$E$49</definedName>
    <definedName name="Junior_Rate">Inputs!$E$50</definedName>
    <definedName name="Junior_Margin">Inputs!$E$51</definedName>
    <definedName name="Junior_Payment">Inputs!$E$52</definedName>
    <definedName name="Fee_Transaction">Inputs!$E$54</definedName>
    <definedName name="Fee_Financing">Inputs!$E$55</definedName>
    <definedName name="Min_Cash">Inputs!$E$56</definedName>
    <definedName name="Cash_Rate">Inputs!$E$57</definedName>
    <definedName name="Tax_Rate">Inputs!$E$60</definedName>
    <definedName name="Interest_Deductible">Inputs!$E$61</definedName>
    <definedName name="Target_Net_Debt">Inputs!$E$64</definedName>
    <definedName name="Target_Other">Inputs!$E$65</definedName>
    <definedName name="Target_Shares">Inputs!$E$66</definedName>
    <definedName name="Target_VWAP">Inputs!$E$67</definedName>
    <definedName name="EBITDA_0">Transaction!$E$5</definedName>
    <definedName name="Entry_Multiple_Used">Transaction!$E$6</definedName>
    <definedName name="Purchase_EV">Transaction!$E$7</definedName>
    <definedName name="Exit_Multiple_Used">Transaction!$E$8</definedName>
    <definedName name="Holding_N">Transaction!$E$9</definedName>
    <definedName name="Transaction_Costs">Transaction!$E$13</definedName>
    <definedName name="Financing_Costs">Transaction!$E$14</definedName>
    <definedName name="Cash_0">Transaction!$E$15</definedName>
    <definedName name="Uses_Total">Transaction!$E$16</definedName>
    <definedName name="Senior_0">Transaction!$E$19</definedName>
    <definedName name="Junior_0">Transaction!$E$20</definedName>
    <definedName name="Equity_In">Transaction!$E$21</definedName>
    <definedName name="Sources_Total">Transaction!$E$22</definedName>
    <definedName name="Net_Debt_Path">'Debt Schedule'!$F$46:$L$46</definedName>
    <definedName name="Funding_Gap_Year">'Debt Schedule'!$E$49</definedName>
    <definedName name="EBITDA_Exit">Returns!$E$6</definedName>
    <definedName name="Exit_EV">Returns!$E$8</definedName>
    <definedName name="Exit_Costs">Returns!$E$9</definedName>
    <definedName name="Net_Debt_Exit">Returns!$E$10</definedName>
    <definedName name="Equity_Exit_Raw">Returns!$E$11</definedName>
    <definedName name="Equity_Exit">Returns!$E$12</definedName>
    <definedName name="MOIC">Returns!$E$16</definedName>
    <definedName name="IRR">Returns!$E$17</definedName>
    <definedName name="Max_Equity">Returns!$E$21</definedName>
    <definedName name="Max_EV">Returns!$E$22</definedName>
    <definedName name="Max_Multiple">Returns!$E$23</definedName>
    <definedName name="Attr_Growth">Returns!$E$26</definedName>
    <definedName name="Attr_Multiple">Returns!$E$27</definedName>
    <definedName name="Attr_Deleveraging">Returns!$E$28</definedName>
    <definedName name="Attr_Costs">Returns!$E$29</definedName>
    <definedName name="Attr_Floor">Returns!$E$30</definedName>
    <definedName name="Attribution_Sum">Returns!$E$31</definedName>
    <definedName name="Investor_Gain">Returns!$E$32</definedName>
    <definedName name="Price_Per_Share">Returns!$E$35</definedName>
    <definedName name="Premium">Returns!$E$36</definedName>
    <definedName name="Max_Price_Per_Share">Returns!$E$37</definedName>
    <definedName name="Max_Premium">Returns!$E$38</definedName>
    <definedName name="Summary_Sentence">Returns!$B$41</definedName>
    <definedName name="Investor_Cash_Flows">Returns!$E$46:$L$46</definedName>
    <definedName name="Sens_Exit">Sensitivities!$E$7:$I$11</definedName>
    <definedName name="Sens_Debt">Sensitivities!$E$16:$I$20</definedName>
    <definedName name="Sens_Schedules">Sensitivities!$E$27:$L$106</definedName>
    <definedName name="Inputs_Complete">Checks!$D$5</definedName>
    <definedName name="SARON_Count">Checks!$D$6</definedName>
    <definedName name="Check_Statuses">Checks!$E$10:$E$28</definedName>
    <definedName name="Check_Errors">Checks!$D$31</definedName>
    <definedName name="Check_Warnings">Checks!$D$32</definedName>
    <definedName name="Check_Status">Checks!$D$33</definedName>
    <definedName name="_xlnm.Print_Area" localSheetId="0">'Cover'!$A$1:$D$47</definedName>
    <definedName name="_xlnm.Print_Titles" localSheetId="0">'Cover'!$1:$2</definedName>
    <definedName name="_xlnm.Print_Area" localSheetId="1">'Inputs'!$A$1:$M$67</definedName>
    <definedName name="_xlnm.Print_Titles" localSheetId="1">'Inputs'!$1:$2</definedName>
    <definedName name="_xlnm.Print_Area" localSheetId="2">'Transaction'!$A$1:$F$24</definedName>
    <definedName name="_xlnm.Print_Titles" localSheetId="2">'Transaction'!$1:$2</definedName>
    <definedName name="_xlnm.Print_Area" localSheetId="3">'Operations'!$A$1:$L$17</definedName>
    <definedName name="_xlnm.Print_Titles" localSheetId="3">'Operations'!$1:$2</definedName>
    <definedName name="_xlnm.Print_Area" localSheetId="4">'Debt Schedule'!$A$1:$L$49</definedName>
    <definedName name="_xlnm.Print_Titles" localSheetId="4">'Debt Schedule'!$1:$2</definedName>
    <definedName name="_xlnm.Print_Area" localSheetId="5">'Returns'!$A$1:$L$46</definedName>
    <definedName name="_xlnm.Print_Titles" localSheetId="5">'Returns'!$1:$2</definedName>
    <definedName name="_xlnm.Print_Area" localSheetId="6">'Sensitivities'!$A$1:$I$24</definedName>
    <definedName name="_xlnm.Print_Titles" localSheetId="6">'Sensitivities'!$1:$2</definedName>
    <definedName name="_xlnm.Print_Area" localSheetId="7">'Checks'!$A$1:$G$33</definedName>
    <definedName name="_xlnm.Print_Titles" localSheetId="7">'Checks'!$1:$2</definedName>
    <definedName name="_xlnm.Print_Area" localSheetId="8">'Settings'!$A$1:$E$11</definedName>
    <definedName name="_xlnm.Print_Titles" localSheetId="8">'Settings'!$1:$2</definedName>
  </definedNames>
  <calcPr calcId="171027" fullCalcOnLoad="1"/>
</workbook>
</file>

<file path=xl/comments1.xml><?xml version="1.0" encoding="utf-8"?>
<comments xmlns="http://schemas.openxmlformats.org/spreadsheetml/2006/main">
  <authors>
    <author>Author</author>
  </authors>
  <commentList>
    <comment ref="B1" authorId="0">
      <text>
        <r>
          <t>Leveraged buyout of a Swiss company: return of a financial investor at a given price, and the maximum price for a target return</t>
        </r>
      </text>
    </comment>
  </commentList>
</comments>
</file>

<file path=xl/comments2.xml><?xml version="1.0" encoding="utf-8"?>
<comments xmlns="http://schemas.openxmlformats.org/spreadsheetml/2006/main">
  <authors>
    <author>Author</author>
  </authors>
  <commentList>
    <comment ref="B1" authorId="0">
      <text>
        <r>
          <t>All blue cells are inputs. Amounts in CHF m, rates per year. Grey notes at the labels explain each input.</t>
        </r>
      </text>
    </comment>
    <comment ref="B5" authorId="0">
      <text>
        <r>
          <t>Optional. Shown in the header of every sheet.</t>
        </r>
      </text>
    </comment>
    <comment ref="B6" authorId="0">
      <text>
        <r>
          <t>Whole number of years from 3 to 7. Purchase at the end of year 0, sale at the end of the holding period.</t>
        </r>
      </text>
    </comment>
    <comment ref="B7" authorId="0">
      <text>
        <r>
          <t>Multiple: price as a multiple of EBITDA in year 0. Amount: enterprise value in CHF m.</t>
        </r>
      </text>
    </comment>
    <comment ref="B8" authorId="0">
      <text>
        <r>
          <t>Enterprise value paid for the whole company, including the debt that is refinanced</t>
        </r>
      </text>
    </comment>
    <comment ref="B9" authorId="0">
      <text>
        <r>
          <t>Used only if the entry price is entered as an amount</t>
        </r>
      </text>
    </comment>
    <comment ref="B10" authorId="0">
      <text>
        <r>
          <t>Same as entry (default): no rerating is assumed. Own multiple: enter it below.</t>
        </r>
      </text>
    </comment>
    <comment ref="B11" authorId="0">
      <text>
        <r>
          <t>Used only if Exit multiple = Own multiple</t>
        </r>
      </text>
    </comment>
    <comment ref="B12" authorId="0">
      <text>
        <r>
          <t>Advisory and other costs of the sale, in % of the enterprise value at exit</t>
        </r>
      </text>
    </comment>
    <comment ref="B13" authorId="0">
      <text>
        <r>
          <t>Example value without source. Used for the maximum price on the sheet Returns.</t>
        </r>
      </text>
    </comment>
    <comment ref="B16" authorId="0">
      <text>
        <r>
          <t>EBITDA: simple build as on the website. Revenue: revenue growth and EBITDA margin with three scenarios.</t>
        </r>
      </text>
    </comment>
    <comment ref="B18" authorId="0">
      <text>
        <r>
          <t>Last full fiscal year before the purchase</t>
        </r>
      </text>
    </comment>
    <comment ref="B19" authorId="0">
      <text>
        <r>
          <t>Same growth in every year</t>
        </r>
      </text>
    </comment>
    <comment ref="B20" authorId="0">
      <text>
        <r>
          <t>Only for the tax calculation</t>
        </r>
      </text>
    </comment>
    <comment ref="B22" authorId="0">
      <text>
        <r>
          <t>Net working capital grows with the business: this share of the change in EBITDA is tied up each year</t>
        </r>
      </text>
    </comment>
    <comment ref="B25" authorId="0">
      <text>
        <r>
          <t>EBITDA year 0 = revenue year 0 × margin year 0. Basis for the purchase price and the debt.</t>
        </r>
      </text>
    </comment>
    <comment ref="B28" authorId="0">
      <text>
        <r>
          <t>Net working capital as a share of revenue. The change is tied up each year.</t>
        </r>
      </text>
    </comment>
    <comment ref="B29" authorId="0">
      <text>
        <r>
          <t>Applies only to the build from revenue</t>
        </r>
      </text>
    </comment>
    <comment ref="B30" authorId="0">
      <text>
        <r>
          <t>Years 6 and 7 use the values of year 5</t>
        </r>
      </text>
    </comment>
    <comment ref="B40" authorId="0">
      <text>
        <r>
          <t>Proposal: SARON of the Swiss National Bank, end of September 2026: -0.068% (data.snb.ch, table zimoma, value at month end). There is no public forecast of SARON, so the same value is proposed for every year. Overwrite each year with your own assumption.</t>
        </r>
      </text>
    </comment>
    <comment ref="B41" authorId="0">
      <text>
        <r>
          <t>Many loan agreements do not let the reference rate fall below zero. Yes: a negative SARON counts as 0% in the interest rates.</t>
        </r>
      </text>
    </comment>
    <comment ref="B43" authorId="0">
      <text>
        <r>
          <t>Example value, not a typical value. For context: the ECB guidance on leveraged transactions (May 2017, page 8) treats total debt above 6.0 times EBITDA as exceptional for banks in the euro area.</t>
        </r>
      </text>
    </comment>
    <comment ref="B44" authorId="0">
      <text>
        <r>
          <t>Example value without source</t>
        </r>
      </text>
    </comment>
    <comment ref="B46" authorId="0">
      <text>
        <r>
          <t>Share of the cash above the minimum cash that repays senior debt each year</t>
        </r>
      </text>
    </comment>
    <comment ref="B47" authorId="0">
      <text>
        <r>
          <t>Subordinated tranche: repaid at exit, no early repayment</t>
        </r>
      </text>
    </comment>
    <comment ref="B49" authorId="0">
      <text>
        <r>
          <t>Fixed rate or SARON plus margin</t>
        </r>
      </text>
    </comment>
    <comment ref="B52" authorId="0">
      <text>
        <r>
          <t>Cash: paid each year. PIK (payment in kind): added to the loan and repaid at exit.</t>
        </r>
      </text>
    </comment>
    <comment ref="B54" authorId="0">
      <text>
        <r>
          <t>Paid at closing from the equity, not amortised (no tax effect in this model)</t>
        </r>
      </text>
    </comment>
    <comment ref="B55" authorId="0">
      <text>
        <r>
          <t>Paid at closing from the equity, not amortised</t>
        </r>
      </text>
    </comment>
    <comment ref="B56" authorId="0">
      <text>
        <r>
          <t>Funded at closing and kept on the balance sheet</t>
        </r>
      </text>
    </comment>
    <comment ref="B57" authorId="0">
      <text>
        <r>
          <t>On the positive cash balance at the start of the year</t>
        </r>
      </text>
    </comment>
    <comment ref="B60" authorId="0">
      <text>
        <r>
          <t>Example value. Profit and capital taxes of the Confederation, canton and municipality in 2025 ranged from 12.01% (Stans) to 20.26% (Zurich) of profit before tax in the cantonal capitals (Swiss Federal Tax Administration, Steuerstatistik 2025, page 13: companies with capital and reserves of CHF 2 million and a return of 20%). Losses give no tax credit, no loss carryforward.</t>
        </r>
      </text>
    </comment>
    <comment ref="B61" authorId="0">
      <text>
        <r>
          <t>Simplification: the model deducts interest from taxable profit. In Switzerland this depends on the structure. Usually a new acquisition company buys the target and takes on the loans. The interest then arises at the acquisition company and the profits at the target, and Swiss corporate income tax has no group taxation that offsets the two. If the two companies merge after the acquisition, interest on the acquisition loan is not deductible at the target according to a ruling of the Swiss Federal Supreme Court of 24 February 2026, if it has no link to the target's own business (9C_606/2025). Set this switch to No to see the effect. This is not tax advice.</t>
        </r>
      </text>
    </comment>
    <comment ref="B64" authorId="0">
      <text>
        <r>
          <t>Empty = 0. Negative for net cash.</t>
        </r>
      </text>
    </comment>
    <comment ref="B65" authorId="0">
      <text>
        <r>
          <t>For example leases, pensions and minorities, less non-operating assets. Empty = 0.</t>
        </r>
      </text>
    </comment>
    <comment ref="B66" authorId="0">
      <text>
        <r>
          <t>Empty or 0: no price per share</t>
        </r>
      </text>
    </comment>
    <comment ref="B67" authorId="0">
      <text>
        <r>
          <t>Same basis as the takeover premiums on noelwalpert.com. Empty or 0: no premium.</t>
        </r>
      </text>
    </comment>
  </commentList>
</comments>
</file>

<file path=xl/comments3.xml><?xml version="1.0" encoding="utf-8"?>
<comments xmlns="http://schemas.openxmlformats.org/spreadsheetml/2006/main">
  <authors>
    <author>Author</author>
  </authors>
  <commentList>
    <comment ref="B1" authorId="0">
      <text>
        <r>
          <t>Purchase price and sources and uses of funds at closing (end of year 0)</t>
        </r>
      </text>
    </comment>
    <comment ref="B5" authorId="0">
      <text>
        <r>
          <t>From the build on Inputs: EBITDA year 0, or revenue year 0 × margin year 0</t>
        </r>
      </text>
    </comment>
    <comment ref="B7" authorId="0">
      <text>
        <r>
          <t>Entry multiple × EBITDA year 0. Covers the purchase of the shares and the refinancing of the existing net debt.</t>
        </r>
      </text>
    </comment>
    <comment ref="B8" authorId="0">
      <text>
        <r>
          <t>Same as entry unless an own exit multiple is chosen on Inputs</t>
        </r>
      </text>
    </comment>
    <comment ref="B9" authorId="0">
      <text>
        <r>
          <t>Holding period from Inputs, kept within the time axis of the model</t>
        </r>
      </text>
    </comment>
    <comment ref="B19" authorId="0">
      <text>
        <r>
          <t>Senior debt multiple × EBITDA year 0</t>
        </r>
      </text>
    </comment>
    <comment ref="B20" authorId="0">
      <text>
        <r>
          <t>Junior debt multiple × EBITDA year 0</t>
        </r>
      </text>
    </comment>
    <comment ref="B21" authorId="0">
      <text>
        <r>
          <t>The rest: total uses less debt</t>
        </r>
      </text>
    </comment>
  </commentList>
</comments>
</file>

<file path=xl/comments4.xml><?xml version="1.0" encoding="utf-8"?>
<comments xmlns="http://schemas.openxmlformats.org/spreadsheetml/2006/main">
  <authors>
    <author>Author</author>
  </authors>
  <commentList>
    <comment ref="B1" authorId="0">
      <text>
        <r>
          <t>Operating business year by year: revenue (if built from revenue), EBITDA, depreciation, capital expenditure and net working capital</t>
        </r>
      </text>
    </comment>
    <comment ref="B8" authorId="0">
      <text>
        <r>
          <t>From the chosen scenario on Inputs. Years 6 and 7 use year 5.</t>
        </r>
      </text>
    </comment>
    <comment ref="B15" authorId="0">
      <text>
        <r>
          <t>EBITDA less depreciation and amortisation</t>
        </r>
      </text>
    </comment>
    <comment ref="B17" authorId="0">
      <text>
        <r>
          <t>Positive: cash tied up in net working capital</t>
        </r>
      </text>
    </comment>
  </commentList>
</comments>
</file>

<file path=xl/comments5.xml><?xml version="1.0" encoding="utf-8"?>
<comments xmlns="http://schemas.openxmlformats.org/spreadsheetml/2006/main">
  <authors>
    <author>Author</author>
  </authors>
  <commentList>
    <comment ref="B1" authorId="0">
      <text>
        <r>
          <t>Interest, tax, cash flow and repayment year by year. Interest is charged on the balance at the end of the previous year: no circular reference, no iterative calculation.</t>
        </r>
      </text>
    </comment>
    <comment ref="B9" authorId="0">
      <text>
        <r>
          <t>Fixed rate, or SARON plus margin</t>
        </r>
      </text>
    </comment>
    <comment ref="B13" authorId="0">
      <text>
        <r>
          <t>Interest on the balance at the end of the previous year. This avoids the circular reference of interest on the average balance. The interest is slightly higher, the return slightly more conservative.</t>
        </r>
      </text>
    </comment>
    <comment ref="B14" authorId="0">
      <text>
        <r>
          <t>Share of the initial senior debt, at most the opening balance</t>
        </r>
      </text>
    </comment>
    <comment ref="B15" authorId="0">
      <text>
        <r>
          <t>Share of the cash above the minimum cash, at most what is still outstanding after the mandatory amortisation</t>
        </r>
      </text>
    </comment>
    <comment ref="B22" authorId="0">
      <text>
        <r>
          <t>Repaid at exit</t>
        </r>
      </text>
    </comment>
    <comment ref="B26" authorId="0">
      <text>
        <r>
          <t>On the positive opening balance</t>
        </r>
      </text>
    </comment>
    <comment ref="B27" authorId="0">
      <text>
        <r>
          <t>A negative balance is a funding gap: the investor would need more money (no revolving credit facility in this model)</t>
        </r>
      </text>
    </comment>
    <comment ref="B31" authorId="0">
      <text>
        <r>
          <t>EBIT plus interest income, less interest if deductible (switch on Inputs)</t>
        </r>
      </text>
    </comment>
    <comment ref="B32" authorId="0">
      <text>
        <r>
          <t>Tax rate × taxable profit, zero if the taxable profit is negative (no tax credit, no loss carryforward)</t>
        </r>
      </text>
    </comment>
    <comment ref="B43" authorId="0">
      <text>
        <r>
          <t>Opening cash plus cash flow after debt service, less the minimum cash, not below zero</t>
        </r>
      </text>
    </comment>
    <comment ref="B46" authorId="0">
      <text>
        <r>
          <t>Senior plus junior debt less cash, at the end of the year</t>
        </r>
      </text>
    </comment>
    <comment ref="B49" authorId="0">
      <text>
        <r>
          <t>Shows the year if the closing cash is negative within the holding period</t>
        </r>
      </text>
    </comment>
  </commentList>
</comments>
</file>

<file path=xl/comments6.xml><?xml version="1.0" encoding="utf-8"?>
<comments xmlns="http://schemas.openxmlformats.org/spreadsheetml/2006/main">
  <authors>
    <author>Author</author>
  </authors>
  <commentList>
    <comment ref="B1" authorId="0">
      <text>
        <r>
          <t>Exit, IRR and multiple of the equity, maximum price for the target IRR and where the return comes from</t>
        </r>
      </text>
    </comment>
    <comment ref="B11" authorId="0">
      <text>
        <r>
          <t>Negative if the debt exceeds the exit value</t>
        </r>
      </text>
    </comment>
    <comment ref="B12" authorId="0">
      <text>
        <r>
          <t>The investor loses at most the equity invested: never below zero. The rest of the loss is borne by the lenders.</t>
        </r>
      </text>
    </comment>
    <comment ref="B16" authorId="0">
      <text>
        <r>
          <t>Equity value at exit ÷ equity invested. 0.00x if the equity is lost.</t>
        </r>
      </text>
    </comment>
    <comment ref="B17" authorId="0">
      <text>
        <r>
          <t>One payment in, one payment out: IRR = MOIC ^ (1 ÷ holding period) minus 1. Minus 100% if the equity is lost. Cross-check with the function IRR on Checks.</t>
        </r>
      </text>
    </comment>
    <comment ref="B21" authorId="0">
      <text>
        <r>
          <t>Equity value at exit discounted at the target IRR. The debt is sized on EBITDA, so the debt schedule does not depend on the price.</t>
        </r>
      </text>
    </comment>
    <comment ref="B22" authorId="0">
      <text>
        <r>
          <t>Maximum equity plus debt, less financing costs and cash, divided by 1 plus transaction costs</t>
        </r>
      </text>
    </comment>
    <comment ref="B23" authorId="0">
      <text>
        <r>
          <t>The exit multiple stays as on Inputs. If it is the same as entry, the entered entry multiple is used for the exit.</t>
        </r>
      </text>
    </comment>
    <comment ref="B26" authorId="0">
      <text>
        <r>
          <t>Change in EBITDA valued at the entry multiple</t>
        </r>
      </text>
    </comment>
    <comment ref="B27" authorId="0">
      <text>
        <r>
          <t>Change in the multiple valued at the EBITDA at exit</t>
        </r>
      </text>
    </comment>
    <comment ref="B28" authorId="0">
      <text>
        <r>
          <t>Net debt at closing less net debt at exit. Includes interest added to junior debt (payment in kind).</t>
        </r>
      </text>
    </comment>
    <comment ref="B29" authorId="0">
      <text>
        <r>
          <t>Transaction, financing and selling costs</t>
        </r>
      </text>
    </comment>
    <comment ref="B30" authorId="0">
      <text>
        <r>
          <t>Zero unless the debt exceeds the exit value</t>
        </r>
      </text>
    </comment>
    <comment ref="B31" authorId="0">
      <text>
        <r>
          <t>Equals the equity value at exit less the equity invested (check on Checks)</t>
        </r>
      </text>
    </comment>
    <comment ref="B35" authorId="0">
      <text>
        <r>
          <t>(Purchase price less net financial debt and other items) ÷ shares</t>
        </r>
      </text>
    </comment>
    <comment ref="B38" authorId="0">
      <text>
        <r>
          <t>Compare with the takeover premiums since 2013 on noelwalpert.com/analysen/uebernahmepraemien</t>
        </r>
      </text>
    </comment>
    <comment ref="B46" authorId="0">
      <text>
        <r>
          <t>Equity invested at closing (negative), equity value at exit in the exit year, zero otherwise</t>
        </r>
      </text>
    </comment>
  </commentList>
</comments>
</file>

<file path=xl/comments7.xml><?xml version="1.0" encoding="utf-8"?>
<comments xmlns="http://schemas.openxmlformats.org/spreadsheetml/2006/main">
  <authors>
    <author>Author</author>
  </authors>
  <commentList>
    <comment ref="B1" authorId="0">
      <text>
        <r>
          <t>IRR for other entry and exit multiples and for other amounts of senior debt. Every cell is a formula, no data table.</t>
        </r>
      </text>
    </comment>
  </commentList>
</comments>
</file>

<file path=xl/comments8.xml><?xml version="1.0" encoding="utf-8"?>
<comments xmlns="http://schemas.openxmlformats.org/spreadsheetml/2006/main">
  <authors>
    <author>Author</author>
  </authors>
  <commentList>
    <comment ref="B1" authorId="0">
      <text>
        <r>
          <t>Plausibility and integrity checks. ERROR must be fixed, WARNING deserves a second look, INFO is for information only.</t>
        </r>
      </text>
    </comment>
  </commentList>
</comments>
</file>

<file path=xl/comments9.xml><?xml version="1.0" encoding="utf-8"?>
<comments xmlns="http://schemas.openxmlformats.org/spreadsheetml/2006/main">
  <authors>
    <author>Author</author>
  </authors>
  <commentList>
    <comment ref="B1" authorId="0">
      <text>
        <r>
          <t>Technical parameters of the model. Change them only if you know why.</t>
        </r>
      </text>
    </comment>
    <comment ref="B5" authorId="0">
      <text>
        <r>
          <t>The website allows 3 to 7 years. The time axis of the model has 7 years.</t>
        </r>
      </text>
    </comment>
    <comment ref="B6" authorId="0">
      <text>
        <r>
          <t>Length of the time axis on Operations and Debt Schedule</t>
        </r>
      </text>
    </comment>
    <comment ref="B7" authorId="0">
      <text>
        <r>
          <t>Entry and exit multiple, as on the website</t>
        </r>
      </text>
    </comment>
    <comment ref="B8" authorId="0">
      <text>
        <r>
          <t>Senior debt as a multiple of EBITDA, as on the website. Never below zero.</t>
        </r>
      </text>
    </comment>
    <comment ref="B9" authorId="0">
      <text>
        <r>
          <t>Largest relative difference accepted by the checks</t>
        </r>
      </text>
    </comment>
    <comment ref="B10" authorId="0">
      <text>
        <r>
          <t>The function IRR searches step by step and is less precise than the closed formula. Used only for the cross-check.</t>
        </r>
      </text>
    </comment>
  </commentList>
</comments>
</file>

<file path=xl/sharedStrings.xml><?xml version="1.0" encoding="utf-8"?>
<sst xmlns="http://schemas.openxmlformats.org/spreadsheetml/2006/main" count="589" uniqueCount="280">
  <si>
    <t>Swiss LBO Model</t>
  </si>
  <si>
    <t>About this file</t>
  </si>
  <si>
    <t>Version</t>
  </si>
  <si>
    <t>v1.0.0, created 24 October 2026</t>
  </si>
  <si>
    <t>File</t>
  </si>
  <si>
    <t>Example with neutral illustrative values, the same as the start of the LBO calculator on noelwalpert.com</t>
  </si>
  <si>
    <t>Currency and units</t>
  </si>
  <si>
    <t>CHF. Amounts in millions, price per share in CHF, rates per year</t>
  </si>
  <si>
    <t>SARON</t>
  </si>
  <si>
    <t>Swiss National Bank, data.snb.ch, table zimoma, end of September 2026: -0.068%. Proposed for every year, overwrite on Inputs.</t>
  </si>
  <si>
    <t>Key results (implied values based on your assumptions)</t>
  </si>
  <si>
    <t>Model status</t>
  </si>
  <si>
    <t>IRR of the investor</t>
  </si>
  <si>
    <t>Multiple on invested capital (MOIC)</t>
  </si>
  <si>
    <t>Maximum entry multiple</t>
  </si>
  <si>
    <t>Summary</t>
  </si>
  <si>
    <t>Colour code</t>
  </si>
  <si>
    <t>1.0</t>
  </si>
  <si>
    <t>Blue: input</t>
  </si>
  <si>
    <t>Black: formula</t>
  </si>
  <si>
    <t>Green: link to another sheet</t>
  </si>
  <si>
    <t>Contents</t>
  </si>
  <si>
    <t>Inputs</t>
  </si>
  <si>
    <t>All assumptions: transaction, operations, financing, tax, price per share</t>
  </si>
  <si>
    <t>Transaction</t>
  </si>
  <si>
    <t>Purchase price, sources and uses of funds</t>
  </si>
  <si>
    <t>Operations</t>
  </si>
  <si>
    <t>EBITDA, depreciation, capital expenditure and net working capital year by year</t>
  </si>
  <si>
    <t>Debt Schedule</t>
  </si>
  <si>
    <t>Interest, tax, cash flow, mandatory amortisation and cash sweep</t>
  </si>
  <si>
    <t>Returns</t>
  </si>
  <si>
    <t>Exit, IRR, MOIC, maximum price and where the return comes from</t>
  </si>
  <si>
    <t>Sensitivities</t>
  </si>
  <si>
    <t>IRR by entry and exit multiple and by entry multiple and senior debt</t>
  </si>
  <si>
    <t>Checks</t>
  </si>
  <si>
    <t>Plausibility and integrity checks</t>
  </si>
  <si>
    <t>Settings</t>
  </si>
  <si>
    <t>Technical parameters</t>
  </si>
  <si>
    <t>Method notes</t>
  </si>
  <si>
    <t>Interest</t>
  </si>
  <si>
    <t>Interest is charged on the balance at the end of the previous year. This avoids a circular reference: the workbook needs no iterative calculation and no macro. Compared with interest on the average balance, the IRR is slightly lower (0.06 to 0.25 percentage points in the documented test cases).</t>
  </si>
  <si>
    <t>Price</t>
  </si>
  <si>
    <t>Debt is sized as a multiple of EBITDA year 0, so the debt schedule does not depend on the price. IRR and maximum price are closed formulas.</t>
  </si>
  <si>
    <t>Equity</t>
  </si>
  <si>
    <t>The investor loses at most the equity invested: the equity value at exit is never below zero.</t>
  </si>
  <si>
    <t>Tax</t>
  </si>
  <si>
    <t>Simplification: the model deducts interest from taxable profit. In Switzerland this depends on the structure. Usually a new acquisition company buys the target and takes on the loans. The interest then arises at the acquisition company and the profits at the target, and Swiss corporate income tax has no group taxation that offsets the two. If the two companies merge after the acquisition, interest on the acquisition loan is not deductible at the target according to a ruling of the Swiss Federal Supreme Court of 24 February 2026, if it has no link to the target's own business (9C_606/2025). Set this switch to No to see the effect. This is not tax advice.</t>
  </si>
  <si>
    <t>Sources and licence</t>
  </si>
  <si>
    <t>Website</t>
  </si>
  <si>
    <t>https://noelwalpert.com/tools/lbo-rechner</t>
  </si>
  <si>
    <t>Repository</t>
  </si>
  <si>
    <t>https://github.com/noelwalpert/swiss-financial-models</t>
  </si>
  <si>
    <t>Licence</t>
  </si>
  <si>
    <t>CC BY 4.0. You may share and adapt the model, also commercially, if you credit: Noel Walpert, noelwalpert.com</t>
  </si>
  <si>
    <t>Disclaimer</t>
  </si>
  <si>
    <t>This model is an illustration for educational and informational purposes. It is not investment, legal or tax advice and not a recommendation to buy or sell any security or company. IRR, MOIC and maximum price are implied values based on your assumptions. They are not a valuation opinion and not a prediction of a transaction price. Results depend entirely on the inputs.</t>
  </si>
  <si>
    <t>A. Transaction</t>
  </si>
  <si>
    <t>Company name</t>
  </si>
  <si>
    <t>Holding period</t>
  </si>
  <si>
    <t>years</t>
  </si>
  <si>
    <t>Entry price entered as</t>
  </si>
  <si>
    <t>Multiple</t>
  </si>
  <si>
    <t>Entry multiple (EV / EBITDA year 0)</t>
  </si>
  <si>
    <t>x</t>
  </si>
  <si>
    <t>Entry enterprise value</t>
  </si>
  <si>
    <t>CHF m</t>
  </si>
  <si>
    <t>Exit multiple</t>
  </si>
  <si>
    <t>Same as entry</t>
  </si>
  <si>
    <t>Own exit multiple (EV / EBITDA at exit)</t>
  </si>
  <si>
    <t>Selling costs at exit</t>
  </si>
  <si>
    <t>% of EV</t>
  </si>
  <si>
    <t>Target IRR of the investor</t>
  </si>
  <si>
    <t>% p.a.</t>
  </si>
  <si>
    <t>B. Operations</t>
  </si>
  <si>
    <t>Operating build</t>
  </si>
  <si>
    <t>EBITDA</t>
  </si>
  <si>
    <t>Build from EBITDA</t>
  </si>
  <si>
    <t>EBITDA year 0</t>
  </si>
  <si>
    <t>EBITDA growth</t>
  </si>
  <si>
    <t>Depreciation and amortisation</t>
  </si>
  <si>
    <t>% EBITDA</t>
  </si>
  <si>
    <t>Capital expenditure</t>
  </si>
  <si>
    <t>Change in net working capital</t>
  </si>
  <si>
    <t>% of ΔEBITDA</t>
  </si>
  <si>
    <t>Build from revenue</t>
  </si>
  <si>
    <t>Revenue year 0</t>
  </si>
  <si>
    <t>EBITDA margin year 0</t>
  </si>
  <si>
    <t>%</t>
  </si>
  <si>
    <t>% revenue</t>
  </si>
  <si>
    <t>Net working capital</t>
  </si>
  <si>
    <t>Scenario</t>
  </si>
  <si>
    <t>Base</t>
  </si>
  <si>
    <t>Year</t>
  </si>
  <si>
    <t>Revenue growth, bear case</t>
  </si>
  <si>
    <t>Revenue growth, base case</t>
  </si>
  <si>
    <t>Revenue growth, bull case</t>
  </si>
  <si>
    <t>EBITDA margin, bear case</t>
  </si>
  <si>
    <t>EBITDA margin, base case</t>
  </si>
  <si>
    <t>EBITDA margin, bull case</t>
  </si>
  <si>
    <t>C. Financing</t>
  </si>
  <si>
    <t>SARON floor at 0%</t>
  </si>
  <si>
    <t>Yes</t>
  </si>
  <si>
    <t>Senior debt</t>
  </si>
  <si>
    <t>x EBITDA</t>
  </si>
  <si>
    <t>Margin over SARON</t>
  </si>
  <si>
    <t>Mandatory amortisation</t>
  </si>
  <si>
    <t>% of initial p.a.</t>
  </si>
  <si>
    <t>Cash sweep</t>
  </si>
  <si>
    <t>% of excess cash</t>
  </si>
  <si>
    <t>Junior debt</t>
  </si>
  <si>
    <t>Fixed</t>
  </si>
  <si>
    <t>Fixed rate</t>
  </si>
  <si>
    <t>Interest payment</t>
  </si>
  <si>
    <t>Cash</t>
  </si>
  <si>
    <t>Fees and cash</t>
  </si>
  <si>
    <t>Transaction costs</t>
  </si>
  <si>
    <t>Financing costs</t>
  </si>
  <si>
    <t>% of debt</t>
  </si>
  <si>
    <t>Minimum cash</t>
  </si>
  <si>
    <t>Interest on cash</t>
  </si>
  <si>
    <t>D. Tax</t>
  </si>
  <si>
    <t>Tax rate on profit</t>
  </si>
  <si>
    <t>Interest deductible for tax</t>
  </si>
  <si>
    <t>E. Price per share (optional)</t>
  </si>
  <si>
    <t>Net financial debt of the target before the deal</t>
  </si>
  <si>
    <t>Other items of the equity bridge</t>
  </si>
  <si>
    <t>Shares outstanding</t>
  </si>
  <si>
    <t>m</t>
  </si>
  <si>
    <t>Volume weighted average price, last 60 trading days</t>
  </si>
  <si>
    <t>CHF</t>
  </si>
  <si>
    <t>Purchase price</t>
  </si>
  <si>
    <t>Purchase price (enterprise value)</t>
  </si>
  <si>
    <t>Holding period used</t>
  </si>
  <si>
    <t>Uses of funds</t>
  </si>
  <si>
    <t>% of total</t>
  </si>
  <si>
    <t>Cash on the balance sheet</t>
  </si>
  <si>
    <t>Total uses</t>
  </si>
  <si>
    <t>Sources of funds</t>
  </si>
  <si>
    <t>Equity of the investor</t>
  </si>
  <si>
    <t>Total sources</t>
  </si>
  <si>
    <t>Total debt / EBITDA year 0</t>
  </si>
  <si>
    <t>Within the holding period (1 = yes)</t>
  </si>
  <si>
    <t>Revenue (used only with the build from revenue)</t>
  </si>
  <si>
    <t>Revenue growth</t>
  </si>
  <si>
    <t>Revenue</t>
  </si>
  <si>
    <t>EBITDA margin</t>
  </si>
  <si>
    <t>EBITDA and cash items</t>
  </si>
  <si>
    <t>EBIT</t>
  </si>
  <si>
    <t>Interest rates</t>
  </si>
  <si>
    <t>SARON used (with floor if chosen)</t>
  </si>
  <si>
    <t>Senior debt: SARON plus margin</t>
  </si>
  <si>
    <t>Opening balance</t>
  </si>
  <si>
    <t>Interest (rate × opening balance)</t>
  </si>
  <si>
    <t>Closing balance</t>
  </si>
  <si>
    <t>of which payment in kind (added to the loan)</t>
  </si>
  <si>
    <t>Interest income</t>
  </si>
  <si>
    <t>Taxable profit</t>
  </si>
  <si>
    <t>Taxes</t>
  </si>
  <si>
    <t>Cash flow and debt service</t>
  </si>
  <si>
    <t>less taxes</t>
  </si>
  <si>
    <t>less capital expenditure</t>
  </si>
  <si>
    <t>less change in net working capital</t>
  </si>
  <si>
    <t>Cash flow before financing</t>
  </si>
  <si>
    <t>less interest paid in cash, net of interest income</t>
  </si>
  <si>
    <t>less mandatory amortisation</t>
  </si>
  <si>
    <t>Cash flow after debt service</t>
  </si>
  <si>
    <t>Cash available for the sweep</t>
  </si>
  <si>
    <t>Credit metrics</t>
  </si>
  <si>
    <t>Net debt</t>
  </si>
  <si>
    <t>Net debt / EBITDA</t>
  </si>
  <si>
    <t>EBITDA / cash interest</t>
  </si>
  <si>
    <t>Funding gap in the holding period (year)</t>
  </si>
  <si>
    <t>Exit</t>
  </si>
  <si>
    <t>EBITDA at exit</t>
  </si>
  <si>
    <t>Enterprise value at exit</t>
  </si>
  <si>
    <t>Selling costs</t>
  </si>
  <si>
    <t>Net debt at exit</t>
  </si>
  <si>
    <t>Exit value less net debt</t>
  </si>
  <si>
    <t>Equity value at exit</t>
  </si>
  <si>
    <t>Returns of the investor</t>
  </si>
  <si>
    <t>Equity invested at closing</t>
  </si>
  <si>
    <t>Internal rate of return (IRR)</t>
  </si>
  <si>
    <t>Maximum price for the target IRR: implied value based on your assumptions</t>
  </si>
  <si>
    <t>Target IRR</t>
  </si>
  <si>
    <t>Maximum equity invested</t>
  </si>
  <si>
    <t>Maximum purchase price (enterprise value)</t>
  </si>
  <si>
    <t>Maximum entry multiple (EV / EBITDA year 0)</t>
  </si>
  <si>
    <t>Where the return comes from</t>
  </si>
  <si>
    <t>Change in multiple</t>
  </si>
  <si>
    <t>Debt paydown and cash build-up</t>
  </si>
  <si>
    <t>Costs</t>
  </si>
  <si>
    <t>Loss beyond the equity (borne by the lenders)</t>
  </si>
  <si>
    <t>Gain of the investor (sum of the parts)</t>
  </si>
  <si>
    <t>Gain of the investor (exit less invested)</t>
  </si>
  <si>
    <t>Price per share (optional): implied value based on your assumptions</t>
  </si>
  <si>
    <t>Price per share at the entry price</t>
  </si>
  <si>
    <t>Premium to the 60-day VWAP</t>
  </si>
  <si>
    <t>Maximum price per share for the target IRR</t>
  </si>
  <si>
    <t>Maximum premium to the 60-day VWAP</t>
  </si>
  <si>
    <t>Cash flows of the investor (for the IRR cross-check on Checks)</t>
  </si>
  <si>
    <t>Cash flow to and from the investor</t>
  </si>
  <si>
    <t>Table 1: IRR by entry multiple (rows) and exit multiple (columns)</t>
  </si>
  <si>
    <t>Entry / exit</t>
  </si>
  <si>
    <t>The exit multiple does not change the debt schedule, so each cell is a closed formula.</t>
  </si>
  <si>
    <t>Table 2: IRR by entry multiple (rows) and senior debt in x EBITDA (columns), exit multiple fixed</t>
  </si>
  <si>
    <t>Entry / debt</t>
  </si>
  <si>
    <t>Debt changes interest, tax and repayment. Each column has its own debt schedule (grouped below, click + to show). The exit multiple stays at the base value.</t>
  </si>
  <si>
    <t>Senior debt at closing</t>
  </si>
  <si>
    <t>Debt schedules for table 2 (one per column, same formulas as the sheet Debt Schedule)</t>
  </si>
  <si>
    <t>Senior debt, opening</t>
  </si>
  <si>
    <t>Junior debt, opening</t>
  </si>
  <si>
    <t>Cash, opening</t>
  </si>
  <si>
    <t>Senior interest</t>
  </si>
  <si>
    <t>Junior interest</t>
  </si>
  <si>
    <t>of which payment in kind</t>
  </si>
  <si>
    <t>Senior debt, closing</t>
  </si>
  <si>
    <t>Junior debt, closing</t>
  </si>
  <si>
    <t>Net debt, closing</t>
  </si>
  <si>
    <t>Cash, closing</t>
  </si>
  <si>
    <t>Model state</t>
  </si>
  <si>
    <t>Inputs complete (1 = yes)</t>
  </si>
  <si>
    <t>SARON values within the holding period</t>
  </si>
  <si>
    <t>#</t>
  </si>
  <si>
    <t>Check</t>
  </si>
  <si>
    <t>Value</t>
  </si>
  <si>
    <t>Status</t>
  </si>
  <si>
    <t>What is checked</t>
  </si>
  <si>
    <t>Message</t>
  </si>
  <si>
    <t>Inputs complete</t>
  </si>
  <si>
    <t>Required blue cells on Inputs</t>
  </si>
  <si>
    <t>Holding period valid</t>
  </si>
  <si>
    <t>Whole number within the time axis</t>
  </si>
  <si>
    <t>Switches valid</t>
  </si>
  <si>
    <t>Switches with a value outside their list</t>
  </si>
  <si>
    <t>EBITDA year 0 positive</t>
  </si>
  <si>
    <t>EBITDA in CHF m</t>
  </si>
  <si>
    <t>Equity of the investor positive</t>
  </si>
  <si>
    <t>Equity at closing in CHF m</t>
  </si>
  <si>
    <t>Sources equal uses</t>
  </si>
  <si>
    <t>Sources less uses</t>
  </si>
  <si>
    <t>Debt never negative</t>
  </si>
  <si>
    <t>Smallest closing balance of senior and junior debt</t>
  </si>
  <si>
    <t>Repayment within the senior debt outstanding</t>
  </si>
  <si>
    <t>Years with more repayment than outstanding</t>
  </si>
  <si>
    <t>Funding gap in the holding period</t>
  </si>
  <si>
    <t>First year with negative cash (0 = none)</t>
  </si>
  <si>
    <t>Equity value at exit above zero</t>
  </si>
  <si>
    <t>Attribution adds up to the gain</t>
  </si>
  <si>
    <t>Sum of the five parts less the gain</t>
  </si>
  <si>
    <t>IRR and MOIC consistent</t>
  </si>
  <si>
    <t>(1 + IRR) ^ holding period less MOIC</t>
  </si>
  <si>
    <t>IRR function gives the same IRR</t>
  </si>
  <si>
    <t>Function IRR on the cash flows less the closed formula</t>
  </si>
  <si>
    <t>Maximum price gives the target IRR</t>
  </si>
  <si>
    <t>IRR at the maximum price less the target IRR</t>
  </si>
  <si>
    <t>Maximum price exists</t>
  </si>
  <si>
    <t>Centre of the sensitivities equals the base case</t>
  </si>
  <si>
    <t>Differences of both tables and of the middle debt schedule</t>
  </si>
  <si>
    <t>Interest rate below zero</t>
  </si>
  <si>
    <t>Years with a negative interest rate on debt</t>
  </si>
  <si>
    <t>Exit multiple above entry multiple</t>
  </si>
  <si>
    <t>Exit less entry multiple</t>
  </si>
  <si>
    <t>No error values in the model</t>
  </si>
  <si>
    <t>Cells with error values</t>
  </si>
  <si>
    <t>Errors</t>
  </si>
  <si>
    <t>Warnings</t>
  </si>
  <si>
    <t>Overall status</t>
  </si>
  <si>
    <t>Parameters</t>
  </si>
  <si>
    <t>Shortest holding period</t>
  </si>
  <si>
    <t>The website allows 3 to 7 years. The time axis of the model has 7 years.</t>
  </si>
  <si>
    <t>Longest holding period</t>
  </si>
  <si>
    <t>Length of the time axis on Operations and Debt Schedule</t>
  </si>
  <si>
    <t>Step of the multiples in the sensitivities</t>
  </si>
  <si>
    <t>Entry and exit multiple, as on the website</t>
  </si>
  <si>
    <t>Step of the senior debt in the sensitivities</t>
  </si>
  <si>
    <t>Senior debt as a multiple of EBITDA, as on the website. Never below zero.</t>
  </si>
  <si>
    <t>Check tolerance</t>
  </si>
  <si>
    <t>Largest relative difference accepted by the checks</t>
  </si>
  <si>
    <t>Tolerance of the IRR function</t>
  </si>
  <si>
    <t>The function IRR searches step by step and is less precise than the closed formula. Used only for the cross-check.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</si>
</sst>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_)"/>
    <numFmt numFmtId="165" formatCode="[&gt;=0.05]0.0&quot;x&quot;_);[&lt;=-0.05](0.0&quot;x&quot;);&quot;-&quot;_)"/>
    <numFmt numFmtId="166" formatCode="[&gt;=0.05]#,##0.0_);[&lt;=-0.05](#,##0.0);&quot;-&quot;_)"/>
    <numFmt numFmtId="167" formatCode="[&gt;=0.00005]0.00%_);[&lt;=-0.00005](0.00%);&quot;-&quot;_)"/>
    <numFmt numFmtId="168" formatCode="[&gt;=0.005]#,##0.00_);[&lt;=-0.005](#,##0.00);&quot;-&quot;_)"/>
    <numFmt numFmtId="169" formatCode="[&gt;=0.0005]0.0%_);[&lt;=-0.0005](0.0%);&quot;-&quot;_)"/>
    <numFmt numFmtId="170" formatCode="[&gt;=0.005]0.00_);[&lt;=-0.005](0.00);&quot;-&quot;_)"/>
    <numFmt numFmtId="171" formatCode="0.0E+00"/>
  </numFmts>
  <fonts count="13" x14ac:knownFonts="1">
    <font>
      <color theme="1"/>
      <family val="2"/>
      <scheme val="minor"/>
      <sz val="11"/>
      <name val="Calibri"/>
    </font>
    <font>
      <color rgb="FF000000"/>
      <sz val="10"/>
      <name val="Arial"/>
    </font>
    <font>
      <b/>
      <color rgb="FF142030"/>
      <sz val="13"/>
      <name val="Arial"/>
    </font>
    <font>
      <color rgb="FF000000"/>
      <sz val="8"/>
      <name val="Arial"/>
    </font>
    <font>
      <b/>
      <color rgb="FF000000"/>
      <sz val="11"/>
      <name val="Arial"/>
    </font>
    <font>
      <color rgb="FF5B6B7F"/>
      <sz val="10"/>
      <name val="Arial"/>
    </font>
    <font>
      <b/>
      <color rgb="FF008000"/>
      <sz val="10"/>
      <name val="Arial"/>
    </font>
    <font>
      <color rgb="FF008000"/>
      <sz val="10"/>
      <name val="Arial"/>
    </font>
    <font>
      <color rgb="FF0000FF"/>
      <sz val="10"/>
      <name val="Arial"/>
    </font>
    <font>
      <u/>
      <color rgb="FF0000FF"/>
      <sz val="10"/>
      <name val="Arial"/>
    </font>
    <font>
      <b/>
      <color rgb="FF000000"/>
      <sz val="10"/>
      <name val="Arial"/>
    </font>
    <font>
      <b/>
      <color rgb="FF5B6B7F"/>
      <sz val="10"/>
      <name val="Arial"/>
    </font>
    <font>
      <color rgb="FF5B6B7F"/>
      <sz val="9"/>
      <name val="Arial"/>
    </font>
  </fonts>
  <fills count="3">
    <fill>
      <patternFill patternType="none"/>
    </fill>
    <fill>
      <patternFill patternType="gray125"/>
    </fill>
    <fill>
      <patternFill patternType="solid">
        <fgColor rgb="FFEEF4FB"/>
      </patternFill>
    </fill>
  </fills>
  <borders count="8">
    <border>
      <left/>
      <right/>
      <top/>
      <bottom/>
      <diagonal/>
    </border>
    <border>
      <left/>
      <right/>
      <top/>
      <bottom style="medium">
        <color rgb="FF142030"/>
      </bottom>
      <diagonal/>
    </border>
    <border>
      <left/>
      <right/>
      <top/>
      <bottom style="thin">
        <color rgb="FF965800"/>
      </bottom>
      <diagonal/>
    </border>
    <border>
      <left/>
      <right/>
      <top/>
      <bottom style="hair">
        <color rgb="FFD9DFE7"/>
      </bottom>
      <diagonal/>
    </border>
    <border>
      <left/>
      <right/>
      <top/>
      <bottom style="thin"/>
      <diagonal/>
    </border>
    <border>
      <left/>
      <right/>
      <top style="thin">
        <color rgb="FF000000"/>
      </top>
      <bottom/>
      <diagonal/>
    </border>
    <border>
      <left/>
      <right/>
      <top style="thin"/>
      <bottom style="double"/>
      <diagonal/>
    </border>
    <border>
      <left style="thin"/>
      <right style="thin"/>
      <top style="thin"/>
      <bottom style="thin"/>
      <diagonal/>
    </border>
  </borders>
  <cellStyleXfs count="1">
    <xf numFmtId="0" fontId="0" fillId="0" borderId="0"/>
  </cellStyleXfs>
  <cellXfs count="56">
    <xf numFmtId="0" fontId="0" fillId="0" borderId="0" xfId="0"/>
    <xf numFmtId="0" fontId="1" fillId="0" borderId="0" xfId="0" applyFont="1"/>
    <xf numFmtId="0" fontId="2" fillId="0" borderId="1" xfId="0" applyFont="1" applyBorder="1" applyAlignment="1">
      <alignment vertical="center"/>
    </xf>
    <xf numFmtId="0" fontId="1" fillId="0" borderId="1" xfId="0" applyFont="1" applyBorder="1"/>
    <xf numFmtId="49" fontId="3" fillId="0" borderId="0" xfId="0" applyNumberFormat="1" applyFont="1" applyAlignment="1">
      <alignment horizontal="left" vertical="top"/>
    </xf>
    <xf numFmtId="0" fontId="4" fillId="0" borderId="2" xfId="0" applyFont="1" applyBorder="1"/>
    <xf numFmtId="0" fontId="1" fillId="0" borderId="2" xfId="0" applyFont="1" applyBorder="1"/>
    <xf numFmtId="0" fontId="5" fillId="0" borderId="0" xfId="0" applyFont="1" applyAlignment="1">
      <alignment horizontal="left" vertical="top" wrapText="1"/>
    </xf>
    <xf numFmtId="0" fontId="1" fillId="0" borderId="0" xfId="0" applyFont="1" applyAlignment="1">
      <alignment horizontal="left" vertical="top" wrapText="1"/>
    </xf>
    <xf numFmtId="49" fontId="6" fillId="0" borderId="0" xfId="0" applyNumberFormat="1" applyFont="1" applyAlignment="1">
      <alignment horizontal="left" vertical="top" wrapText="1"/>
    </xf>
    <xf numFmtId="49" fontId="1" fillId="0" borderId="0" xfId="0" applyNumberFormat="1" applyFont="1" applyAlignment="1">
      <alignment horizontal="left" vertical="top" wrapText="1"/>
    </xf>
    <xf numFmtId="49" fontId="7" fillId="0" borderId="0" xfId="0" applyNumberFormat="1" applyFont="1" applyAlignment="1">
      <alignment horizontal="left" vertical="top" wrapText="1"/>
    </xf>
    <xf numFmtId="49" fontId="8" fillId="2" borderId="3" xfId="0" applyNumberFormat="1" applyFont="1" applyFill="1" applyBorder="1" applyAlignment="1">
      <alignment horizontal="left"/>
    </xf>
    <xf numFmtId="0" fontId="1" fillId="0" borderId="0" xfId="0" applyFont="1" applyAlignment="1">
      <alignment horizontal="left" vertical="bottom"/>
    </xf>
    <xf numFmtId="0" fontId="7" fillId="0" borderId="0" xfId="0" applyFont="1" applyAlignment="1">
      <alignment horizontal="left" vertical="bottom"/>
    </xf>
    <xf numFmtId="0" fontId="9" fillId="0" borderId="0" xfId="0" applyFont="1"/>
    <xf numFmtId="0" fontId="5" fillId="0" borderId="0" xfId="0" applyFont="1" applyAlignment="1">
      <alignment horizontal="left" vertical="bottom"/>
    </xf>
    <xf numFmtId="164" fontId="8" fillId="2" borderId="3" xfId="0" applyNumberFormat="1" applyFont="1" applyFill="1" applyBorder="1"/>
    <xf numFmtId="49" fontId="8" fillId="2" borderId="3" xfId="0" applyNumberFormat="1" applyFont="1" applyFill="1" applyBorder="1" applyAlignment="1">
      <alignment horizontal="right"/>
    </xf>
    <xf numFmtId="0" fontId="1" fillId="0" borderId="0" xfId="0" applyFont="1" applyAlignment="1">
      <alignment indent="1"/>
    </xf>
    <xf numFmtId="165" fontId="8" fillId="2" borderId="3" xfId="0" applyNumberFormat="1" applyFont="1" applyFill="1" applyBorder="1"/>
    <xf numFmtId="166" fontId="8" fillId="2" borderId="3" xfId="0" applyNumberFormat="1" applyFont="1" applyFill="1" applyBorder="1"/>
    <xf numFmtId="167" fontId="8" fillId="2" borderId="3" xfId="0" applyNumberFormat="1" applyFont="1" applyFill="1" applyBorder="1"/>
    <xf numFmtId="0" fontId="10" fillId="0" borderId="0" xfId="0" applyFont="1"/>
    <xf numFmtId="1" fontId="10" fillId="0" borderId="4" xfId="0" applyNumberFormat="1" applyFont="1" applyBorder="1" applyAlignment="1">
      <alignment horizontal="right"/>
    </xf>
    <xf numFmtId="168" fontId="8" fillId="2" borderId="3" xfId="0" applyNumberFormat="1" applyFont="1" applyFill="1" applyBorder="1"/>
    <xf numFmtId="166" fontId="1" fillId="0" borderId="0" xfId="0" applyNumberFormat="1" applyFont="1" applyAlignment="1">
      <alignment horizontal="right"/>
    </xf>
    <xf numFmtId="165" fontId="1" fillId="0" borderId="0" xfId="0" applyNumberFormat="1" applyFont="1" applyAlignment="1">
      <alignment horizontal="right"/>
    </xf>
    <xf numFmtId="166" fontId="10" fillId="0" borderId="0" xfId="0" applyNumberFormat="1" applyFont="1" applyAlignment="1">
      <alignment horizontal="right"/>
    </xf>
    <xf numFmtId="164" fontId="1" fillId="0" borderId="0" xfId="0" applyNumberFormat="1" applyFont="1" applyAlignment="1">
      <alignment horizontal="right"/>
    </xf>
    <xf numFmtId="0" fontId="5" fillId="0" borderId="2" xfId="0" applyFont="1" applyBorder="1" applyAlignment="1">
      <alignment horizontal="right" vertical="bottom"/>
    </xf>
    <xf numFmtId="169" fontId="1" fillId="0" borderId="0" xfId="0" applyNumberFormat="1" applyFont="1" applyAlignment="1">
      <alignment horizontal="right"/>
    </xf>
    <xf numFmtId="166" fontId="7" fillId="0" borderId="0" xfId="0" applyNumberFormat="1" applyFont="1" applyAlignment="1">
      <alignment horizontal="right"/>
    </xf>
    <xf numFmtId="166" fontId="10" fillId="0" borderId="5" xfId="0" applyNumberFormat="1" applyFont="1" applyBorder="1" applyAlignment="1">
      <alignment horizontal="right"/>
    </xf>
    <xf numFmtId="167" fontId="1" fillId="0" borderId="0" xfId="0" applyNumberFormat="1" applyFont="1" applyAlignment="1">
      <alignment horizontal="right"/>
    </xf>
    <xf numFmtId="167" fontId="7" fillId="0" borderId="0" xfId="0" applyNumberFormat="1" applyFont="1" applyAlignment="1">
      <alignment horizontal="right"/>
    </xf>
    <xf numFmtId="1" fontId="1"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70" fontId="1" fillId="0" borderId="0" xfId="0" applyNumberFormat="1" applyFont="1" applyAlignment="1">
      <alignment horizontal="right"/>
    </xf>
    <xf numFmtId="167" fontId="10" fillId="0" borderId="6" xfId="0" applyNumberFormat="1" applyFont="1" applyBorder="1" applyAlignment="1">
      <alignment horizontal="right"/>
    </xf>
    <xf numFmtId="165" fontId="10" fillId="0" borderId="6" xfId="0" applyNumberFormat="1" applyFont="1" applyBorder="1" applyAlignment="1">
      <alignment horizontal="right"/>
    </xf>
    <xf numFmtId="168" fontId="1" fillId="0" borderId="0" xfId="0" applyNumberFormat="1" applyFont="1" applyAlignment="1">
      <alignment horizontal="right"/>
    </xf>
    <xf numFmtId="49" fontId="1" fillId="0" borderId="0" xfId="0" applyNumberFormat="1" applyFont="1" applyAlignment="1">
      <alignment horizontal="left"/>
    </xf>
    <xf numFmtId="0" fontId="11" fillId="0" borderId="0" xfId="0" applyFont="1" applyAlignment="1">
      <alignment horizontal="left" vertical="bottom"/>
    </xf>
    <xf numFmtId="0" fontId="12" fillId="0" borderId="0" xfId="0" applyFont="1" applyAlignment="1">
      <alignment horizontal="left" vertical="top" wrapText="1"/>
    </xf>
    <xf numFmtId="169" fontId="10" fillId="0" borderId="7" xfId="0" applyNumberFormat="1" applyFont="1" applyBorder="1" applyAlignment="1">
      <alignment horizontal="right"/>
    </xf>
    <xf numFmtId="49" fontId="10" fillId="0" borderId="0" xfId="0" applyNumberFormat="1" applyFont="1" applyAlignment="1">
      <alignment horizontal="left"/>
    </xf>
    <xf numFmtId="0" fontId="10" fillId="0" borderId="4" xfId="0" applyFont="1" applyBorder="1" applyAlignment="1">
      <alignment horizontal="left" vertical="bottom"/>
    </xf>
    <xf numFmtId="0" fontId="10" fillId="0" borderId="4" xfId="0" applyFont="1" applyBorder="1" applyAlignment="1">
      <alignment horizontal="right" vertical="bottom"/>
    </xf>
    <xf numFmtId="0" fontId="10" fillId="0" borderId="4" xfId="0" applyFont="1" applyBorder="1" applyAlignment="1">
      <alignment horizontal="center"/>
    </xf>
    <xf numFmtId="49" fontId="1" fillId="0" borderId="0" xfId="0" applyNumberFormat="1" applyFont="1" applyAlignment="1">
      <alignment horizontal="center"/>
    </xf>
    <xf numFmtId="0" fontId="12" fillId="0" borderId="0" xfId="0" applyFont="1" applyAlignment="1">
      <alignment horizontal="left" vertical="bottom"/>
    </xf>
    <xf numFmtId="171" fontId="1" fillId="0" borderId="0" xfId="0" applyNumberFormat="1" applyFont="1" applyAlignment="1">
      <alignment horizontal="right"/>
    </xf>
    <xf numFmtId="0" fontId="10" fillId="0" borderId="0" xfId="0" applyFont="1" applyAlignment="1">
      <alignment horizontal="left" vertical="bottom"/>
    </xf>
    <xf numFmtId="171" fontId="8" fillId="2" borderId="3" xfId="0" applyNumberFormat="1" applyFont="1" applyFill="1" applyBorder="1"/>
  </cellXfs>
  <cellStyles count="1">
    <cellStyle name="Normal" xfId="0" builtinId="0"/>
  </cellStyles>
  <dxfs count="10">
    <dxf>
      <font>
        <b/>
        <color rgb="FFB3261E"/>
      </font>
    </dxf>
    <dxf>
      <font>
        <color rgb="FFB4BDC8"/>
      </font>
    </dxf>
    <dxf>
      <font>
        <color rgb="FFB4BDC8"/>
      </font>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ont>
        <b/>
        <color rgb="FFB3261E"/>
      </font>
    </dxf>
    <dxf>
      <font>
        <b/>
        <color rgb="FF965800"/>
      </font>
    </dxf>
    <dxf>
      <font>
        <color rgb="FF5B6B7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Inputs&apos;!A1" TargetMode="External"/><Relationship Id="rId2" Type="http://schemas.openxmlformats.org/officeDocument/2006/relationships/hyperlink" Target="#&apos;Transaction&apos;!A1" TargetMode="External"/><Relationship Id="rId3" Type="http://schemas.openxmlformats.org/officeDocument/2006/relationships/hyperlink" Target="#&apos;Operations&apos;!A1" TargetMode="External"/><Relationship Id="rId4" Type="http://schemas.openxmlformats.org/officeDocument/2006/relationships/hyperlink" Target="#&apos;Debt Schedule&apos;!A1" TargetMode="External"/><Relationship Id="rId5" Type="http://schemas.openxmlformats.org/officeDocument/2006/relationships/hyperlink" Target="#&apos;Returns&apos;!A1" TargetMode="External"/><Relationship Id="rId6" Type="http://schemas.openxmlformats.org/officeDocument/2006/relationships/hyperlink" Target="#&apos;Sensitivities&apos;!A1" TargetMode="External"/><Relationship Id="rId7" Type="http://schemas.openxmlformats.org/officeDocument/2006/relationships/hyperlink" Target="#&apos;Checks&apos;!A1" TargetMode="External"/><Relationship Id="rId8" Type="http://schemas.openxmlformats.org/officeDocument/2006/relationships/hyperlink" Target="#&apos;Settings&apos;!A1" TargetMode="External"/><Relationship Id="rId9" Type="http://schemas.openxmlformats.org/officeDocument/2006/relationships/comments" Target="../comments1.xml"/><Relationship Id="rId1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C47"/>
  <sheetViews>
    <sheetView workbookViewId="0" showGridLines="0" zoomScale="100"/>
  </sheetViews>
  <sheetFormatPr defaultRowHeight="15" outlineLevelRow="0" outlineLevelCol="0" x14ac:dyDescent="55"/>
  <cols>
    <col min="1" max="1" width="2" style="1" customWidth="1"/>
    <col min="2" max="2" width="34" style="1" customWidth="1"/>
    <col min="3" max="3" width="90" style="1" customWidth="1"/>
    <col min="4" max="4" width="4" style="1" customWidth="1"/>
  </cols>
  <sheetData>
    <row r="1" ht="21" customHeight="1" spans="2:3" x14ac:dyDescent="0.25">
      <c r="B1" s="2" t="s">
        <v>0</v>
      </c>
      <c r="C1" s="3"/>
    </row>
    <row r="2" ht="16" customHeight="1" spans="2:2" x14ac:dyDescent="0.25">
      <c r="B2" s="4">
        <f>IF(Company_Name="","Company not specified",Company_Name)&amp;"   |   CHF m unless stated otherwise   |   Holding period: "&amp;Holding_N&amp;" years   |   Checks: "&amp;Check_Status</f>
      </c>
    </row>
    <row r="4" ht="18" customHeight="1" spans="2:3" x14ac:dyDescent="0.25">
      <c r="B4" s="5" t="s">
        <v>1</v>
      </c>
      <c r="C4" s="6"/>
    </row>
    <row r="5" spans="2:3" x14ac:dyDescent="0.25">
      <c r="B5" s="7" t="s">
        <v>2</v>
      </c>
      <c r="C5" s="8" t="s">
        <v>3</v>
      </c>
    </row>
    <row r="6" spans="2:3" x14ac:dyDescent="0.25">
      <c r="B6" s="7" t="s">
        <v>4</v>
      </c>
      <c r="C6" s="8" t="s">
        <v>5</v>
      </c>
    </row>
    <row r="7" spans="2:3" x14ac:dyDescent="0.25">
      <c r="B7" s="7" t="s">
        <v>6</v>
      </c>
      <c r="C7" s="8" t="s">
        <v>7</v>
      </c>
    </row>
    <row r="8" ht="27" customHeight="1" spans="2:3" x14ac:dyDescent="0.25">
      <c r="B8" s="7" t="s">
        <v>8</v>
      </c>
      <c r="C8" s="8" t="s">
        <v>9</v>
      </c>
    </row>
    <row r="10" ht="18" customHeight="1" spans="2:3" x14ac:dyDescent="0.25">
      <c r="B10" s="5" t="s">
        <v>10</v>
      </c>
      <c r="C10" s="6"/>
    </row>
    <row r="11" spans="2:3" x14ac:dyDescent="0.25">
      <c r="B11" s="7" t="s">
        <v>11</v>
      </c>
      <c r="C11" s="9">
        <f>Check_Status</f>
      </c>
    </row>
    <row r="12" spans="2:3" x14ac:dyDescent="0.25">
      <c r="B12" s="7" t="s">
        <v>12</v>
      </c>
      <c r="C12" s="10">
        <f>IF(ISNUMBER(IRR),FIXED(IRR*100,1)&amp;"% p.a.","n/a")</f>
      </c>
    </row>
    <row r="13" spans="2:3" x14ac:dyDescent="0.25">
      <c r="B13" s="7" t="s">
        <v>13</v>
      </c>
      <c r="C13" s="10">
        <f>IF(ISNUMBER(MOIC),FIXED(MOIC,2)&amp;"x","n/a")</f>
      </c>
    </row>
    <row r="14" ht="27" customHeight="1" spans="2:3" x14ac:dyDescent="0.25">
      <c r="B14" s="7" t="s">
        <v>14</v>
      </c>
      <c r="C14" s="10">
        <f>IF(ISNUMBER(Max_Multiple),FIXED(Max_Multiple,1)&amp;"x EBITDA (CHF "&amp;FIXED(Max_EV,0)&amp;"m) for "&amp;FIXED(Target_IRR*100,1)&amp;"% p.a.","n/a")</f>
      </c>
    </row>
    <row r="15" ht="40" customHeight="1" spans="2:3" x14ac:dyDescent="0.25">
      <c r="B15" s="7" t="s">
        <v>15</v>
      </c>
      <c r="C15" s="11">
        <f>Summary_Sentence</f>
      </c>
    </row>
    <row r="17" ht="18" customHeight="1" spans="2:3" x14ac:dyDescent="0.25">
      <c r="B17" s="5" t="s">
        <v>16</v>
      </c>
      <c r="C17" s="6"/>
    </row>
    <row r="18" spans="2:3" x14ac:dyDescent="0.25">
      <c r="B18" s="12" t="s">
        <v>17</v>
      </c>
      <c r="C18" s="13" t="s">
        <v>18</v>
      </c>
    </row>
    <row r="19" spans="2:3" x14ac:dyDescent="0.25">
      <c r="B19" s="13" t="s">
        <v>17</v>
      </c>
      <c r="C19" s="13" t="s">
        <v>19</v>
      </c>
    </row>
    <row r="20" spans="2:3" x14ac:dyDescent="0.25">
      <c r="B20" s="14" t="s">
        <v>17</v>
      </c>
      <c r="C20" s="13" t="s">
        <v>20</v>
      </c>
    </row>
    <row r="22" ht="18" customHeight="1" spans="2:3" x14ac:dyDescent="0.25">
      <c r="B22" s="5" t="s">
        <v>21</v>
      </c>
      <c r="C22" s="6"/>
    </row>
    <row r="23" spans="2:3" x14ac:dyDescent="0.25">
      <c r="B23" s="15" t="s">
        <v>22</v>
      </c>
      <c r="C23" s="13" t="s">
        <v>23</v>
      </c>
    </row>
    <row r="24" spans="2:3" x14ac:dyDescent="0.25">
      <c r="B24" s="15" t="s">
        <v>24</v>
      </c>
      <c r="C24" s="13" t="s">
        <v>25</v>
      </c>
    </row>
    <row r="25" spans="2:3" x14ac:dyDescent="0.25">
      <c r="B25" s="15" t="s">
        <v>26</v>
      </c>
      <c r="C25" s="13" t="s">
        <v>27</v>
      </c>
    </row>
    <row r="26" spans="2:3" x14ac:dyDescent="0.25">
      <c r="B26" s="15" t="s">
        <v>28</v>
      </c>
      <c r="C26" s="13" t="s">
        <v>29</v>
      </c>
    </row>
    <row r="27" spans="2:3" x14ac:dyDescent="0.25">
      <c r="B27" s="15" t="s">
        <v>30</v>
      </c>
      <c r="C27" s="13" t="s">
        <v>31</v>
      </c>
    </row>
    <row r="28" spans="2:3" x14ac:dyDescent="0.25">
      <c r="B28" s="15" t="s">
        <v>32</v>
      </c>
      <c r="C28" s="13" t="s">
        <v>33</v>
      </c>
    </row>
    <row r="29" spans="2:3" x14ac:dyDescent="0.25">
      <c r="B29" s="15" t="s">
        <v>34</v>
      </c>
      <c r="C29" s="13" t="s">
        <v>35</v>
      </c>
    </row>
    <row r="30" spans="2:3" x14ac:dyDescent="0.25">
      <c r="B30" s="15" t="s">
        <v>36</v>
      </c>
      <c r="C30" s="13" t="s">
        <v>37</v>
      </c>
    </row>
    <row r="32" ht="18" customHeight="1" spans="2:3" x14ac:dyDescent="0.25">
      <c r="B32" s="5" t="s">
        <v>38</v>
      </c>
      <c r="C32" s="6"/>
    </row>
    <row r="33" ht="40" customHeight="1" spans="2:3" x14ac:dyDescent="0.25">
      <c r="B33" s="7" t="s">
        <v>39</v>
      </c>
      <c r="C33" s="8" t="s">
        <v>40</v>
      </c>
    </row>
    <row r="34" ht="27" customHeight="1" spans="2:3" x14ac:dyDescent="0.25">
      <c r="B34" s="7" t="s">
        <v>41</v>
      </c>
      <c r="C34" s="8" t="s">
        <v>42</v>
      </c>
    </row>
    <row r="35" spans="2:3" x14ac:dyDescent="0.25">
      <c r="B35" s="7" t="s">
        <v>43</v>
      </c>
      <c r="C35" s="8" t="s">
        <v>44</v>
      </c>
    </row>
    <row r="36" ht="92" customHeight="1" spans="2:3" x14ac:dyDescent="0.25">
      <c r="B36" s="7" t="s">
        <v>45</v>
      </c>
      <c r="C36" s="8" t="s">
        <v>46</v>
      </c>
    </row>
    <row r="38" ht="18" customHeight="1" spans="2:3" x14ac:dyDescent="0.25">
      <c r="B38" s="5" t="s">
        <v>47</v>
      </c>
      <c r="C38" s="6"/>
    </row>
    <row r="39" spans="2:3" x14ac:dyDescent="0.25">
      <c r="B39" s="7" t="s">
        <v>48</v>
      </c>
      <c r="C39" s="8" t="s">
        <v>49</v>
      </c>
    </row>
    <row r="40" spans="2:3" x14ac:dyDescent="0.25">
      <c r="B40" s="7" t="s">
        <v>50</v>
      </c>
      <c r="C40" s="8" t="s">
        <v>51</v>
      </c>
    </row>
    <row r="41" spans="2:3" x14ac:dyDescent="0.25">
      <c r="B41" s="7" t="s">
        <v>52</v>
      </c>
      <c r="C41" s="8" t="s">
        <v>53</v>
      </c>
    </row>
    <row r="43" ht="18" customHeight="1" spans="2:3" x14ac:dyDescent="0.25">
      <c r="B43" s="5" t="s">
        <v>54</v>
      </c>
      <c r="C43" s="6"/>
    </row>
    <row r="44" spans="2:3" x14ac:dyDescent="0.25">
      <c r="B44" s="8" t="s">
        <v>55</v>
      </c>
      <c r="C44" s="8"/>
    </row>
    <row r="45" spans="2:3" x14ac:dyDescent="0.25">
      <c r="B45" s="8"/>
      <c r="C45" s="8"/>
    </row>
    <row r="46" spans="2:3" x14ac:dyDescent="0.25">
      <c r="B46" s="8"/>
      <c r="C46" s="8"/>
    </row>
    <row r="47" spans="2:3" x14ac:dyDescent="0.25">
      <c r="B47" s="8"/>
      <c r="C47" s="8"/>
    </row>
  </sheetData>
  <mergeCells count="1">
    <mergeCell ref="B44:C47"/>
  </mergeCells>
  <conditionalFormatting sqref="C11">
    <cfRule type="expression" dxfId="0" priority="1">
      <formula>Check_Errors&gt;0</formula>
    </cfRule>
  </conditionalFormatting>
  <hyperlinks>
    <hyperlink ref="B23" r:id="rId1" location="#'Inputs'!A1"/>
    <hyperlink ref="B24" r:id="rId2" location="#'Transaction'!A1"/>
    <hyperlink ref="B25" r:id="rId3" location="#'Operations'!A1"/>
    <hyperlink ref="B26" r:id="rId4" location="#'Debt Schedule'!A1"/>
    <hyperlink ref="B27" r:id="rId5" location="#'Returns'!A1"/>
    <hyperlink ref="B28" r:id="rId6" location="#'Sensitivities'!A1"/>
    <hyperlink ref="B29" r:id="rId7" location="#'Checks'!A1"/>
    <hyperlink ref="B30" r:id="rId8" location="#'Settings'!A1"/>
  </hyperlinks>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M67"/>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8" style="1" customWidth="1"/>
    <col min="3" max="3" width="17" style="1" customWidth="1"/>
    <col min="4" max="4" width="2" style="1" customWidth="1"/>
    <col min="5" max="5" width="14" style="1" customWidth="1"/>
    <col min="6" max="12" width="10" style="1" customWidth="1"/>
    <col min="13" max="13" width="2" style="1" customWidth="1"/>
  </cols>
  <sheetData>
    <row r="1" ht="21" customHeight="1" spans="2:13" x14ac:dyDescent="0.25">
      <c r="B1" s="2" t="s">
        <v>22</v>
      </c>
      <c r="C1" s="3"/>
      <c r="D1" s="3"/>
      <c r="E1" s="3"/>
      <c r="F1" s="3"/>
      <c r="G1" s="3"/>
      <c r="H1" s="3"/>
      <c r="I1" s="3"/>
      <c r="J1" s="3"/>
      <c r="K1" s="3"/>
      <c r="L1" s="3"/>
      <c r="M1" s="3"/>
    </row>
    <row r="2" ht="16" customHeight="1" spans="2:2" x14ac:dyDescent="0.25">
      <c r="B2" s="4">
        <f>IF(Company_Name="","Company not specified",Company_Name)&amp;"   |   CHF m unless stated otherwise   |   Holding period: "&amp;Holding_N&amp;" years   |   Checks: "&amp;Check_Status</f>
      </c>
    </row>
    <row r="4" ht="18" customHeight="1" spans="2:13" x14ac:dyDescent="0.25">
      <c r="B4" s="5" t="s">
        <v>56</v>
      </c>
      <c r="C4" s="6"/>
      <c r="D4" s="6"/>
      <c r="E4" s="6"/>
      <c r="F4" s="6"/>
      <c r="G4" s="6"/>
      <c r="H4" s="6"/>
      <c r="I4" s="6"/>
      <c r="J4" s="6"/>
      <c r="K4" s="6"/>
      <c r="L4" s="6"/>
      <c r="M4" s="6"/>
    </row>
    <row r="5" spans="2:5" x14ac:dyDescent="0.25">
      <c r="B5" s="1" t="s">
        <v>57</v>
      </c>
      <c r="E5" s="12"/>
    </row>
    <row r="6" spans="2:5" x14ac:dyDescent="0.25">
      <c r="B6" s="1" t="s">
        <v>58</v>
      </c>
      <c r="C6" s="16" t="s">
        <v>59</v>
      </c>
      <c r="E6" s="17">
        <v>5</v>
      </c>
    </row>
    <row r="7" spans="2:5" x14ac:dyDescent="0.25">
      <c r="B7" s="1" t="s">
        <v>60</v>
      </c>
      <c r="E7" s="18" t="s">
        <v>61</v>
      </c>
    </row>
    <row r="8" spans="2:5" x14ac:dyDescent="0.25">
      <c r="B8" s="19" t="s">
        <v>62</v>
      </c>
      <c r="C8" s="16" t="s">
        <v>63</v>
      </c>
      <c r="E8" s="20">
        <v>10</v>
      </c>
    </row>
    <row r="9" spans="2:5" x14ac:dyDescent="0.25">
      <c r="B9" s="19" t="s">
        <v>64</v>
      </c>
      <c r="C9" s="16" t="s">
        <v>65</v>
      </c>
      <c r="E9" s="21"/>
    </row>
    <row r="10" spans="2:5" x14ac:dyDescent="0.25">
      <c r="B10" s="1" t="s">
        <v>66</v>
      </c>
      <c r="E10" s="18" t="s">
        <v>67</v>
      </c>
    </row>
    <row r="11" spans="2:5" x14ac:dyDescent="0.25">
      <c r="B11" s="19" t="s">
        <v>68</v>
      </c>
      <c r="C11" s="16" t="s">
        <v>63</v>
      </c>
      <c r="E11" s="20"/>
    </row>
    <row r="12" spans="2:5" x14ac:dyDescent="0.25">
      <c r="B12" s="1" t="s">
        <v>69</v>
      </c>
      <c r="C12" s="16" t="s">
        <v>70</v>
      </c>
      <c r="E12" s="22">
        <v>0</v>
      </c>
    </row>
    <row r="13" spans="2:5" x14ac:dyDescent="0.25">
      <c r="B13" s="1" t="s">
        <v>71</v>
      </c>
      <c r="C13" s="16" t="s">
        <v>72</v>
      </c>
      <c r="E13" s="22">
        <v>0.2</v>
      </c>
    </row>
    <row r="15" ht="18" customHeight="1" spans="2:13" x14ac:dyDescent="0.25">
      <c r="B15" s="5" t="s">
        <v>73</v>
      </c>
      <c r="C15" s="6"/>
      <c r="D15" s="6"/>
      <c r="E15" s="6"/>
      <c r="F15" s="6"/>
      <c r="G15" s="6"/>
      <c r="H15" s="6"/>
      <c r="I15" s="6"/>
      <c r="J15" s="6"/>
      <c r="K15" s="6"/>
      <c r="L15" s="6"/>
      <c r="M15" s="6"/>
    </row>
    <row r="16" spans="2:5" x14ac:dyDescent="0.25">
      <c r="B16" s="1" t="s">
        <v>74</v>
      </c>
      <c r="E16" s="18" t="s">
        <v>75</v>
      </c>
    </row>
    <row r="17" spans="2:2" x14ac:dyDescent="0.25">
      <c r="B17" s="23" t="s">
        <v>76</v>
      </c>
    </row>
    <row r="18" spans="2:5" x14ac:dyDescent="0.25">
      <c r="B18" s="19" t="s">
        <v>77</v>
      </c>
      <c r="C18" s="16" t="s">
        <v>65</v>
      </c>
      <c r="E18" s="21">
        <v>100</v>
      </c>
    </row>
    <row r="19" spans="2:5" x14ac:dyDescent="0.25">
      <c r="B19" s="19" t="s">
        <v>78</v>
      </c>
      <c r="C19" s="16" t="s">
        <v>72</v>
      </c>
      <c r="E19" s="22">
        <v>0.05</v>
      </c>
    </row>
    <row r="20" spans="2:5" x14ac:dyDescent="0.25">
      <c r="B20" s="19" t="s">
        <v>79</v>
      </c>
      <c r="C20" s="16" t="s">
        <v>80</v>
      </c>
      <c r="E20" s="22">
        <v>0.2</v>
      </c>
    </row>
    <row r="21" spans="2:5" x14ac:dyDescent="0.25">
      <c r="B21" s="19" t="s">
        <v>81</v>
      </c>
      <c r="C21" s="16" t="s">
        <v>80</v>
      </c>
      <c r="E21" s="22">
        <v>0.2</v>
      </c>
    </row>
    <row r="22" spans="2:5" x14ac:dyDescent="0.25">
      <c r="B22" s="19" t="s">
        <v>82</v>
      </c>
      <c r="C22" s="16" t="s">
        <v>83</v>
      </c>
      <c r="E22" s="22">
        <v>0</v>
      </c>
    </row>
    <row r="23" spans="2:2" x14ac:dyDescent="0.25">
      <c r="B23" s="23" t="s">
        <v>84</v>
      </c>
    </row>
    <row r="24" spans="2:5" x14ac:dyDescent="0.25">
      <c r="B24" s="19" t="s">
        <v>85</v>
      </c>
      <c r="C24" s="16" t="s">
        <v>65</v>
      </c>
      <c r="E24" s="21">
        <v>500</v>
      </c>
    </row>
    <row r="25" spans="2:5" x14ac:dyDescent="0.25">
      <c r="B25" s="19" t="s">
        <v>86</v>
      </c>
      <c r="C25" s="16" t="s">
        <v>87</v>
      </c>
      <c r="E25" s="22">
        <v>0.2</v>
      </c>
    </row>
    <row r="26" spans="2:5" x14ac:dyDescent="0.25">
      <c r="B26" s="19" t="s">
        <v>79</v>
      </c>
      <c r="C26" s="16" t="s">
        <v>88</v>
      </c>
      <c r="E26" s="22">
        <v>0.04</v>
      </c>
    </row>
    <row r="27" spans="2:5" x14ac:dyDescent="0.25">
      <c r="B27" s="19" t="s">
        <v>81</v>
      </c>
      <c r="C27" s="16" t="s">
        <v>88</v>
      </c>
      <c r="E27" s="22">
        <v>0.04</v>
      </c>
    </row>
    <row r="28" spans="2:5" x14ac:dyDescent="0.25">
      <c r="B28" s="19" t="s">
        <v>89</v>
      </c>
      <c r="C28" s="16" t="s">
        <v>88</v>
      </c>
      <c r="E28" s="22">
        <v>0.1</v>
      </c>
    </row>
    <row r="29" spans="2:5" x14ac:dyDescent="0.25">
      <c r="B29" s="19" t="s">
        <v>90</v>
      </c>
      <c r="E29" s="18" t="s">
        <v>91</v>
      </c>
    </row>
    <row r="30" spans="2:10" x14ac:dyDescent="0.25">
      <c r="B30" s="19" t="s">
        <v>92</v>
      </c>
      <c r="F30" s="24">
        <f>1</f>
      </c>
      <c r="G30" s="24">
        <f>F30+1</f>
      </c>
      <c r="H30" s="24">
        <f>G30+1</f>
      </c>
      <c r="I30" s="24">
        <f>H30+1</f>
      </c>
      <c r="J30" s="24">
        <f>I30+1</f>
      </c>
    </row>
    <row r="31" spans="2:10" x14ac:dyDescent="0.25">
      <c r="B31" s="19" t="s">
        <v>93</v>
      </c>
      <c r="C31" s="16" t="s">
        <v>87</v>
      </c>
      <c r="F31" s="22">
        <v>0.02</v>
      </c>
      <c r="G31" s="22">
        <v>0.02</v>
      </c>
      <c r="H31" s="22">
        <v>0.02</v>
      </c>
      <c r="I31" s="22">
        <v>0.02</v>
      </c>
      <c r="J31" s="22">
        <v>0.02</v>
      </c>
    </row>
    <row r="32" spans="2:10" x14ac:dyDescent="0.25">
      <c r="B32" s="19" t="s">
        <v>94</v>
      </c>
      <c r="C32" s="16" t="s">
        <v>87</v>
      </c>
      <c r="F32" s="22">
        <v>0.05</v>
      </c>
      <c r="G32" s="22">
        <v>0.05</v>
      </c>
      <c r="H32" s="22">
        <v>0.05</v>
      </c>
      <c r="I32" s="22">
        <v>0.05</v>
      </c>
      <c r="J32" s="22">
        <v>0.05</v>
      </c>
    </row>
    <row r="33" spans="2:10" x14ac:dyDescent="0.25">
      <c r="B33" s="19" t="s">
        <v>95</v>
      </c>
      <c r="C33" s="16" t="s">
        <v>87</v>
      </c>
      <c r="F33" s="22">
        <v>0.08</v>
      </c>
      <c r="G33" s="22">
        <v>0.08</v>
      </c>
      <c r="H33" s="22">
        <v>0.08</v>
      </c>
      <c r="I33" s="22">
        <v>0.08</v>
      </c>
      <c r="J33" s="22">
        <v>0.08</v>
      </c>
    </row>
    <row r="34" spans="2:10" x14ac:dyDescent="0.25">
      <c r="B34" s="19" t="s">
        <v>96</v>
      </c>
      <c r="C34" s="16" t="s">
        <v>87</v>
      </c>
      <c r="F34" s="22">
        <v>0.18</v>
      </c>
      <c r="G34" s="22">
        <v>0.18</v>
      </c>
      <c r="H34" s="22">
        <v>0.18</v>
      </c>
      <c r="I34" s="22">
        <v>0.18</v>
      </c>
      <c r="J34" s="22">
        <v>0.18</v>
      </c>
    </row>
    <row r="35" spans="2:10" x14ac:dyDescent="0.25">
      <c r="B35" s="19" t="s">
        <v>97</v>
      </c>
      <c r="C35" s="16" t="s">
        <v>87</v>
      </c>
      <c r="F35" s="22">
        <v>0.2</v>
      </c>
      <c r="G35" s="22">
        <v>0.2</v>
      </c>
      <c r="H35" s="22">
        <v>0.2</v>
      </c>
      <c r="I35" s="22">
        <v>0.2</v>
      </c>
      <c r="J35" s="22">
        <v>0.2</v>
      </c>
    </row>
    <row r="36" spans="2:10" x14ac:dyDescent="0.25">
      <c r="B36" s="19" t="s">
        <v>98</v>
      </c>
      <c r="C36" s="16" t="s">
        <v>87</v>
      </c>
      <c r="F36" s="22">
        <v>0.22</v>
      </c>
      <c r="G36" s="22">
        <v>0.22</v>
      </c>
      <c r="H36" s="22">
        <v>0.22</v>
      </c>
      <c r="I36" s="22">
        <v>0.22</v>
      </c>
      <c r="J36" s="22">
        <v>0.22</v>
      </c>
    </row>
    <row r="38" ht="18" customHeight="1" spans="2:13" x14ac:dyDescent="0.25">
      <c r="B38" s="5" t="s">
        <v>99</v>
      </c>
      <c r="C38" s="6"/>
      <c r="D38" s="6"/>
      <c r="E38" s="6"/>
      <c r="F38" s="6"/>
      <c r="G38" s="6"/>
      <c r="H38" s="6"/>
      <c r="I38" s="6"/>
      <c r="J38" s="6"/>
      <c r="K38" s="6"/>
      <c r="L38" s="6"/>
      <c r="M38" s="6"/>
    </row>
    <row r="39" spans="2:12" x14ac:dyDescent="0.25">
      <c r="B39" s="19" t="s">
        <v>92</v>
      </c>
      <c r="F39" s="24">
        <f>1</f>
      </c>
      <c r="G39" s="24">
        <f>F39+1</f>
      </c>
      <c r="H39" s="24">
        <f>G39+1</f>
      </c>
      <c r="I39" s="24">
        <f>H39+1</f>
      </c>
      <c r="J39" s="24">
        <f>I39+1</f>
      </c>
      <c r="K39" s="24">
        <f>J39+1</f>
      </c>
      <c r="L39" s="24">
        <f>K39+1</f>
      </c>
    </row>
    <row r="40" spans="2:12" x14ac:dyDescent="0.25">
      <c r="B40" s="19" t="s">
        <v>8</v>
      </c>
      <c r="C40" s="16" t="s">
        <v>72</v>
      </c>
      <c r="F40" s="22">
        <v>-0.0006798800000000001</v>
      </c>
      <c r="G40" s="22">
        <v>-0.0006798800000000001</v>
      </c>
      <c r="H40" s="22">
        <v>-0.0006798800000000001</v>
      </c>
      <c r="I40" s="22">
        <v>-0.0006798800000000001</v>
      </c>
      <c r="J40" s="22">
        <v>-0.0006798800000000001</v>
      </c>
      <c r="K40" s="22">
        <v>-0.0006798800000000001</v>
      </c>
      <c r="L40" s="22">
        <v>-0.0006798800000000001</v>
      </c>
    </row>
    <row r="41" spans="2:5" x14ac:dyDescent="0.25">
      <c r="B41" s="1" t="s">
        <v>100</v>
      </c>
      <c r="E41" s="18" t="s">
        <v>101</v>
      </c>
    </row>
    <row r="42" spans="2:2" x14ac:dyDescent="0.25">
      <c r="B42" s="23" t="s">
        <v>102</v>
      </c>
    </row>
    <row r="43" spans="2:5" x14ac:dyDescent="0.25">
      <c r="B43" s="19" t="s">
        <v>102</v>
      </c>
      <c r="C43" s="16" t="s">
        <v>103</v>
      </c>
      <c r="E43" s="20">
        <v>5</v>
      </c>
    </row>
    <row r="44" spans="2:5" x14ac:dyDescent="0.25">
      <c r="B44" s="19" t="s">
        <v>104</v>
      </c>
      <c r="C44" s="16" t="s">
        <v>72</v>
      </c>
      <c r="E44" s="22">
        <v>0.035</v>
      </c>
    </row>
    <row r="45" spans="2:5" x14ac:dyDescent="0.25">
      <c r="B45" s="19" t="s">
        <v>105</v>
      </c>
      <c r="C45" s="16" t="s">
        <v>106</v>
      </c>
      <c r="E45" s="22">
        <v>0</v>
      </c>
    </row>
    <row r="46" spans="2:5" x14ac:dyDescent="0.25">
      <c r="B46" s="19" t="s">
        <v>107</v>
      </c>
      <c r="C46" s="16" t="s">
        <v>108</v>
      </c>
      <c r="E46" s="22">
        <v>1</v>
      </c>
    </row>
    <row r="47" spans="2:2" x14ac:dyDescent="0.25">
      <c r="B47" s="23" t="s">
        <v>109</v>
      </c>
    </row>
    <row r="48" spans="2:5" x14ac:dyDescent="0.25">
      <c r="B48" s="19" t="s">
        <v>109</v>
      </c>
      <c r="C48" s="16" t="s">
        <v>103</v>
      </c>
      <c r="E48" s="20">
        <v>0</v>
      </c>
    </row>
    <row r="49" spans="2:5" x14ac:dyDescent="0.25">
      <c r="B49" s="19" t="s">
        <v>39</v>
      </c>
      <c r="E49" s="18" t="s">
        <v>110</v>
      </c>
    </row>
    <row r="50" spans="2:5" x14ac:dyDescent="0.25">
      <c r="B50" s="19" t="s">
        <v>111</v>
      </c>
      <c r="C50" s="16" t="s">
        <v>72</v>
      </c>
      <c r="E50" s="22">
        <v>0.08</v>
      </c>
    </row>
    <row r="51" spans="2:5" x14ac:dyDescent="0.25">
      <c r="B51" s="19" t="s">
        <v>104</v>
      </c>
      <c r="C51" s="16" t="s">
        <v>72</v>
      </c>
      <c r="E51" s="22">
        <v>0.07</v>
      </c>
    </row>
    <row r="52" spans="2:5" x14ac:dyDescent="0.25">
      <c r="B52" s="19" t="s">
        <v>112</v>
      </c>
      <c r="E52" s="18" t="s">
        <v>113</v>
      </c>
    </row>
    <row r="53" spans="2:2" x14ac:dyDescent="0.25">
      <c r="B53" s="23" t="s">
        <v>114</v>
      </c>
    </row>
    <row r="54" spans="2:5" x14ac:dyDescent="0.25">
      <c r="B54" s="19" t="s">
        <v>115</v>
      </c>
      <c r="C54" s="16" t="s">
        <v>70</v>
      </c>
      <c r="E54" s="22">
        <v>0</v>
      </c>
    </row>
    <row r="55" spans="2:5" x14ac:dyDescent="0.25">
      <c r="B55" s="19" t="s">
        <v>116</v>
      </c>
      <c r="C55" s="16" t="s">
        <v>117</v>
      </c>
      <c r="E55" s="22">
        <v>0</v>
      </c>
    </row>
    <row r="56" spans="2:5" x14ac:dyDescent="0.25">
      <c r="B56" s="19" t="s">
        <v>118</v>
      </c>
      <c r="C56" s="16" t="s">
        <v>65</v>
      </c>
      <c r="E56" s="21">
        <v>0</v>
      </c>
    </row>
    <row r="57" spans="2:5" x14ac:dyDescent="0.25">
      <c r="B57" s="19" t="s">
        <v>119</v>
      </c>
      <c r="C57" s="16" t="s">
        <v>72</v>
      </c>
      <c r="E57" s="22">
        <v>0</v>
      </c>
    </row>
    <row r="59" ht="18" customHeight="1" spans="2:13" x14ac:dyDescent="0.25">
      <c r="B59" s="5" t="s">
        <v>120</v>
      </c>
      <c r="C59" s="6"/>
      <c r="D59" s="6"/>
      <c r="E59" s="6"/>
      <c r="F59" s="6"/>
      <c r="G59" s="6"/>
      <c r="H59" s="6"/>
      <c r="I59" s="6"/>
      <c r="J59" s="6"/>
      <c r="K59" s="6"/>
      <c r="L59" s="6"/>
      <c r="M59" s="6"/>
    </row>
    <row r="60" spans="2:5" x14ac:dyDescent="0.25">
      <c r="B60" s="1" t="s">
        <v>121</v>
      </c>
      <c r="C60" s="16" t="s">
        <v>87</v>
      </c>
      <c r="E60" s="22">
        <v>0.14</v>
      </c>
    </row>
    <row r="61" spans="2:5" x14ac:dyDescent="0.25">
      <c r="B61" s="1" t="s">
        <v>122</v>
      </c>
      <c r="E61" s="18" t="s">
        <v>101</v>
      </c>
    </row>
    <row r="63" ht="18" customHeight="1" spans="2:13" x14ac:dyDescent="0.25">
      <c r="B63" s="5" t="s">
        <v>123</v>
      </c>
      <c r="C63" s="6"/>
      <c r="D63" s="6"/>
      <c r="E63" s="6"/>
      <c r="F63" s="6"/>
      <c r="G63" s="6"/>
      <c r="H63" s="6"/>
      <c r="I63" s="6"/>
      <c r="J63" s="6"/>
      <c r="K63" s="6"/>
      <c r="L63" s="6"/>
      <c r="M63" s="6"/>
    </row>
    <row r="64" spans="2:5" x14ac:dyDescent="0.25">
      <c r="B64" s="1" t="s">
        <v>124</v>
      </c>
      <c r="C64" s="16" t="s">
        <v>65</v>
      </c>
      <c r="E64" s="21">
        <v>0</v>
      </c>
    </row>
    <row r="65" spans="2:5" x14ac:dyDescent="0.25">
      <c r="B65" s="1" t="s">
        <v>125</v>
      </c>
      <c r="C65" s="16" t="s">
        <v>65</v>
      </c>
      <c r="E65" s="21">
        <v>0</v>
      </c>
    </row>
    <row r="66" spans="2:5" x14ac:dyDescent="0.25">
      <c r="B66" s="1" t="s">
        <v>126</v>
      </c>
      <c r="C66" s="16" t="s">
        <v>127</v>
      </c>
      <c r="E66" s="21">
        <v>0</v>
      </c>
    </row>
    <row r="67" spans="2:5" x14ac:dyDescent="0.25">
      <c r="B67" s="1" t="s">
        <v>128</v>
      </c>
      <c r="C67" s="16" t="s">
        <v>129</v>
      </c>
      <c r="E67" s="25">
        <v>0</v>
      </c>
    </row>
  </sheetData>
  <dataValidations count="9">
    <dataValidation type="list" showErrorMessage="1" errorTitle="Invalid choice" error="Choose one of: Same as entry, Own multiple" sqref="E10">
      <formula1>"Same as entry,Own multiple"</formula1>
    </dataValidation>
    <dataValidation type="list" showErrorMessage="1" errorTitle="Invalid choice" error="Choose one of: EBITDA, Revenue" sqref="E16">
      <formula1>"EBITDA,Revenue"</formula1>
    </dataValidation>
    <dataValidation type="list" showErrorMessage="1" errorTitle="Invalid choice" error="Choose one of: Bear, Base, Bull" sqref="E29">
      <formula1>"Bear,Base,Bull"</formula1>
    </dataValidation>
    <dataValidation type="list" showErrorMessage="1" errorTitle="Invalid choice" error="Choose one of: Yes, No" sqref="E41">
      <formula1>"Yes,No"</formula1>
    </dataValidation>
    <dataValidation type="list" showErrorMessage="1" errorTitle="Invalid choice" error="Choose one of: Fixed, SARON" sqref="E49">
      <formula1>"Fixed,SARON"</formula1>
    </dataValidation>
    <dataValidation type="list" showErrorMessage="1" errorTitle="Invalid choice" error="Choose one of: Cash, PIK" sqref="E52">
      <formula1>"Cash,PIK"</formula1>
    </dataValidation>
    <dataValidation type="decimal" allowBlank="1" showErrorMessage="1" errorTitle="Out of range" error="Enter a value between 3 and 7." sqref="E6">
      <formula1>3</formula1>
      <formula2>7</formula2>
    </dataValidation>
    <dataValidation type="list" showErrorMessage="1" errorTitle="Invalid choice" error="Choose one of: Yes, No" sqref="E61">
      <formula1>"Yes,No"</formula1>
    </dataValidation>
    <dataValidation type="list" showErrorMessage="1" errorTitle="Invalid choice" error="Choose one of: Multiple, Amount" sqref="E7">
      <formula1>"Multiple,Amount"</formula1>
    </dataValidation>
  </dataValidations>
  <pageMargins left="0.5" right="0.5" top="0.6" bottom="0.6" header="0.3" footer="0.3"/>
  <pageSetup paperSize="9" orientation="portrait" fitToWidth="1" fitToHeight="0"/>
  <headerFooter>
    <oddFooter>&amp;L&amp;"Arial"&amp;8Swiss LBO Model v1.0.0&amp;C&amp;"Arial"&amp;8&amp;A&amp;R&amp;"Arial"&amp;8Page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F24"/>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6" style="1" customWidth="1"/>
    <col min="3" max="3" width="10" style="1" customWidth="1"/>
    <col min="4" max="4" width="2" style="1" customWidth="1"/>
    <col min="5" max="5" width="14" style="1" customWidth="1"/>
    <col min="6" max="6" width="12" style="1" customWidth="1"/>
  </cols>
  <sheetData>
    <row r="1" ht="21" customHeight="1" spans="2:6" x14ac:dyDescent="0.25">
      <c r="B1" s="2" t="s">
        <v>24</v>
      </c>
      <c r="C1" s="3"/>
      <c r="D1" s="3"/>
      <c r="E1" s="3"/>
      <c r="F1" s="3"/>
    </row>
    <row r="2" ht="16" customHeight="1" spans="2:2" x14ac:dyDescent="0.25">
      <c r="B2" s="4">
        <f>IF(Company_Name="","Company not specified",Company_Name)&amp;"   |   CHF m unless stated otherwise   |   Holding period: "&amp;Holding_N&amp;" years   |   Checks: "&amp;Check_Status</f>
      </c>
    </row>
    <row r="4" ht="18" customHeight="1" spans="2:6" x14ac:dyDescent="0.25">
      <c r="B4" s="5" t="s">
        <v>130</v>
      </c>
      <c r="C4" s="6"/>
      <c r="D4" s="6"/>
      <c r="E4" s="6"/>
      <c r="F4" s="6"/>
    </row>
    <row r="5" spans="2:5" x14ac:dyDescent="0.25">
      <c r="B5" s="1" t="s">
        <v>77</v>
      </c>
      <c r="C5" s="16" t="s">
        <v>65</v>
      </c>
      <c r="E5" s="26">
        <f>IF(Op_Build="EBITDA",EBITDA_Input,Revenue_0*Margin_0)</f>
      </c>
    </row>
    <row r="6" spans="2:5" x14ac:dyDescent="0.25">
      <c r="B6" s="1" t="s">
        <v>62</v>
      </c>
      <c r="C6" s="16" t="s">
        <v>63</v>
      </c>
      <c r="E6" s="27">
        <f>IF(Entry_Method="Amount",IF(EBITDA_0&gt;0,Entry_Amount/EBITDA_0,0),Entry_Multiple)</f>
      </c>
    </row>
    <row r="7" spans="2:5" x14ac:dyDescent="0.25">
      <c r="B7" s="23" t="s">
        <v>131</v>
      </c>
      <c r="C7" s="16" t="s">
        <v>65</v>
      </c>
      <c r="E7" s="28">
        <f>Entry_Multiple_Used*EBITDA_0</f>
      </c>
    </row>
    <row r="8" spans="2:5" x14ac:dyDescent="0.25">
      <c r="B8" s="1" t="s">
        <v>66</v>
      </c>
      <c r="C8" s="16" t="s">
        <v>63</v>
      </c>
      <c r="E8" s="27">
        <f>IF(Exit_Mode="Own multiple",Exit_Multiple,Entry_Multiple_Used)</f>
      </c>
    </row>
    <row r="9" spans="2:5" x14ac:dyDescent="0.25">
      <c r="B9" s="1" t="s">
        <v>132</v>
      </c>
      <c r="C9" s="16" t="s">
        <v>59</v>
      </c>
      <c r="E9" s="29">
        <f>IF(ISNUMBER(Holding_Period),MIN(MAX(Holding_Period,Min_Years),Max_Years),Max_Years)</f>
      </c>
    </row>
    <row r="11" ht="18" customHeight="1" spans="2:6" x14ac:dyDescent="0.25">
      <c r="B11" s="5" t="s">
        <v>133</v>
      </c>
      <c r="C11" s="6"/>
      <c r="D11" s="6"/>
      <c r="E11" s="6"/>
      <c r="F11" s="30" t="s">
        <v>134</v>
      </c>
    </row>
    <row r="12" spans="2:6" x14ac:dyDescent="0.25">
      <c r="B12" s="1" t="s">
        <v>131</v>
      </c>
      <c r="C12" s="16" t="s">
        <v>65</v>
      </c>
      <c r="E12" s="26">
        <f>Purchase_EV</f>
      </c>
      <c r="F12" s="31">
        <f>IF(Uses_Total&gt;0,E12/Uses_Total,"n/a")</f>
      </c>
    </row>
    <row r="13" spans="2:6" x14ac:dyDescent="0.25">
      <c r="B13" s="1" t="s">
        <v>115</v>
      </c>
      <c r="C13" s="16" t="s">
        <v>65</v>
      </c>
      <c r="E13" s="26">
        <f>Fee_Transaction*Purchase_EV</f>
      </c>
      <c r="F13" s="31">
        <f>IF(Uses_Total&gt;0,E13/Uses_Total,"n/a")</f>
      </c>
    </row>
    <row r="14" spans="2:6" x14ac:dyDescent="0.25">
      <c r="B14" s="1" t="s">
        <v>116</v>
      </c>
      <c r="C14" s="16" t="s">
        <v>65</v>
      </c>
      <c r="E14" s="26">
        <f>Fee_Financing*(Senior_0+Junior_0)</f>
      </c>
      <c r="F14" s="31">
        <f>IF(Uses_Total&gt;0,E14/Uses_Total,"n/a")</f>
      </c>
    </row>
    <row r="15" spans="2:6" x14ac:dyDescent="0.25">
      <c r="B15" s="1" t="s">
        <v>135</v>
      </c>
      <c r="C15" s="16" t="s">
        <v>65</v>
      </c>
      <c r="E15" s="32">
        <f>Min_Cash</f>
      </c>
      <c r="F15" s="31">
        <f>IF(Uses_Total&gt;0,E15/Uses_Total,"n/a")</f>
      </c>
    </row>
    <row r="16" spans="2:5" x14ac:dyDescent="0.25">
      <c r="B16" s="23" t="s">
        <v>136</v>
      </c>
      <c r="C16" s="16" t="s">
        <v>65</v>
      </c>
      <c r="E16" s="33">
        <f>SUM(E12:E15)</f>
      </c>
    </row>
    <row r="18" ht="18" customHeight="1" spans="2:6" x14ac:dyDescent="0.25">
      <c r="B18" s="5" t="s">
        <v>137</v>
      </c>
      <c r="C18" s="6"/>
      <c r="D18" s="6"/>
      <c r="E18" s="6"/>
      <c r="F18" s="30" t="s">
        <v>134</v>
      </c>
    </row>
    <row r="19" spans="2:6" x14ac:dyDescent="0.25">
      <c r="B19" s="1" t="s">
        <v>102</v>
      </c>
      <c r="C19" s="16" t="s">
        <v>65</v>
      </c>
      <c r="E19" s="26">
        <f>Senior_Multiple*EBITDA_0</f>
      </c>
      <c r="F19" s="31">
        <f>IF(Sources_Total&gt;0,E19/Sources_Total,"n/a")</f>
      </c>
    </row>
    <row r="20" spans="2:6" x14ac:dyDescent="0.25">
      <c r="B20" s="1" t="s">
        <v>109</v>
      </c>
      <c r="C20" s="16" t="s">
        <v>65</v>
      </c>
      <c r="E20" s="26">
        <f>Junior_Multiple*EBITDA_0</f>
      </c>
      <c r="F20" s="31">
        <f>IF(Sources_Total&gt;0,E20/Sources_Total,"n/a")</f>
      </c>
    </row>
    <row r="21" spans="2:6" x14ac:dyDescent="0.25">
      <c r="B21" s="23" t="s">
        <v>138</v>
      </c>
      <c r="C21" s="16" t="s">
        <v>65</v>
      </c>
      <c r="E21" s="28">
        <f>Purchase_EV*(1+Fee_Transaction)+Financing_Costs+Cash_0-Senior_0-Junior_0</f>
      </c>
      <c r="F21" s="31">
        <f>IF(Sources_Total&gt;0,E21/Sources_Total,"n/a")</f>
      </c>
    </row>
    <row r="22" spans="2:5" x14ac:dyDescent="0.25">
      <c r="B22" s="23" t="s">
        <v>139</v>
      </c>
      <c r="C22" s="16" t="s">
        <v>65</v>
      </c>
      <c r="E22" s="33">
        <f>E19+E20+E21</f>
      </c>
    </row>
    <row r="24" spans="2:5" x14ac:dyDescent="0.25">
      <c r="B24" s="1" t="s">
        <v>140</v>
      </c>
      <c r="C24" s="16" t="s">
        <v>63</v>
      </c>
      <c r="E24" s="27">
        <f>IF(EBITDA_0&gt;0,(Senior_0+Junior_0)/EBITDA_0,"n/a")</f>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17"/>
  <sheetViews>
    <sheetView workbookViewId="0" showGridLines="0" zoomScale="100">
      <pane xSplit="3" ySplit="5" topLeftCell="D6" activePane="bottomRight" state="frozen"/>
      <selection pane="bottomRight"/>
    </sheetView>
  </sheetViews>
  <sheetFormatPr defaultRowHeight="15" outlineLevelRow="0" outlineLevelCol="0" x14ac:dyDescent="55"/>
  <cols>
    <col min="1" max="1" width="2" style="1" customWidth="1"/>
    <col min="2" max="2" width="44" style="1" customWidth="1"/>
    <col min="3" max="3" width="10" style="1" customWidth="1"/>
    <col min="4" max="4" width="2" style="1" customWidth="1"/>
    <col min="5" max="12" width="11" style="1" customWidth="1"/>
  </cols>
  <sheetData>
    <row r="1" ht="21" customHeight="1" spans="2:12" x14ac:dyDescent="0.25">
      <c r="B1" s="2" t="s">
        <v>26</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spans="2:12" x14ac:dyDescent="0.25">
      <c r="B4" s="23" t="s">
        <v>92</v>
      </c>
      <c r="E4" s="24">
        <f>0</f>
      </c>
      <c r="F4" s="24">
        <f>E4+1</f>
      </c>
      <c r="G4" s="24">
        <f>F4+1</f>
      </c>
      <c r="H4" s="24">
        <f>G4+1</f>
      </c>
      <c r="I4" s="24">
        <f>H4+1</f>
      </c>
      <c r="J4" s="24">
        <f>I4+1</f>
      </c>
      <c r="K4" s="24">
        <f>J4+1</f>
      </c>
      <c r="L4" s="24">
        <f>K4+1</f>
      </c>
    </row>
    <row r="5" spans="2:12" x14ac:dyDescent="0.25">
      <c r="B5" s="1" t="s">
        <v>141</v>
      </c>
      <c r="F5" s="29">
        <f>IF(F4&lt;=Holding_N,1,0)</f>
      </c>
      <c r="G5" s="29">
        <f>IF(G4&lt;=Holding_N,1,0)</f>
      </c>
      <c r="H5" s="29">
        <f>IF(H4&lt;=Holding_N,1,0)</f>
      </c>
      <c r="I5" s="29">
        <f>IF(I4&lt;=Holding_N,1,0)</f>
      </c>
      <c r="J5" s="29">
        <f>IF(J4&lt;=Holding_N,1,0)</f>
      </c>
      <c r="K5" s="29">
        <f>IF(K4&lt;=Holding_N,1,0)</f>
      </c>
      <c r="L5" s="29">
        <f>IF(L4&lt;=Holding_N,1,0)</f>
      </c>
    </row>
    <row r="7" ht="18" customHeight="1" spans="2:12" x14ac:dyDescent="0.25">
      <c r="B7" s="5" t="s">
        <v>142</v>
      </c>
      <c r="C7" s="6"/>
      <c r="D7" s="6"/>
      <c r="E7" s="6"/>
      <c r="F7" s="6"/>
      <c r="G7" s="6"/>
      <c r="H7" s="6"/>
      <c r="I7" s="6"/>
      <c r="J7" s="6"/>
      <c r="K7" s="6"/>
      <c r="L7" s="6"/>
    </row>
    <row r="8" spans="2:12" x14ac:dyDescent="0.25">
      <c r="B8" s="1" t="s">
        <v>143</v>
      </c>
      <c r="C8" s="16" t="s">
        <v>87</v>
      </c>
      <c r="F8" s="34">
        <f>IF(Scenario="Bear",Inputs!F31,IF(Scenario="Base",Inputs!F32,Inputs!F33))</f>
      </c>
      <c r="G8" s="34">
        <f>IF(Scenario="Bear",Inputs!G31,IF(Scenario="Base",Inputs!G32,Inputs!G33))</f>
      </c>
      <c r="H8" s="34">
        <f>IF(Scenario="Bear",Inputs!H31,IF(Scenario="Base",Inputs!H32,Inputs!H33))</f>
      </c>
      <c r="I8" s="34">
        <f>IF(Scenario="Bear",Inputs!I31,IF(Scenario="Base",Inputs!I32,Inputs!I33))</f>
      </c>
      <c r="J8" s="34">
        <f>IF(Scenario="Bear",Inputs!J31,IF(Scenario="Base",Inputs!J32,Inputs!J33))</f>
      </c>
      <c r="K8" s="34">
        <f>IF(Scenario="Bear",Inputs!J31,IF(Scenario="Base",Inputs!J32,Inputs!J33))</f>
      </c>
      <c r="L8" s="34">
        <f>IF(Scenario="Bear",Inputs!J31,IF(Scenario="Base",Inputs!J32,Inputs!J33))</f>
      </c>
    </row>
    <row r="9" spans="2:12" x14ac:dyDescent="0.25">
      <c r="B9" s="1" t="s">
        <v>144</v>
      </c>
      <c r="C9" s="16" t="s">
        <v>65</v>
      </c>
      <c r="E9" s="32">
        <f>Revenue_0</f>
      </c>
      <c r="F9" s="26">
        <f>E9*(1+F8)</f>
      </c>
      <c r="G9" s="26">
        <f>F9*(1+G8)</f>
      </c>
      <c r="H9" s="26">
        <f>G9*(1+H8)</f>
      </c>
      <c r="I9" s="26">
        <f>H9*(1+I8)</f>
      </c>
      <c r="J9" s="26">
        <f>I9*(1+J8)</f>
      </c>
      <c r="K9" s="26">
        <f>J9*(1+K8)</f>
      </c>
      <c r="L9" s="26">
        <f>K9*(1+L8)</f>
      </c>
    </row>
    <row r="10" spans="2:12" x14ac:dyDescent="0.25">
      <c r="B10" s="1" t="s">
        <v>145</v>
      </c>
      <c r="C10" s="16" t="s">
        <v>87</v>
      </c>
      <c r="E10" s="35">
        <f>Margin_0</f>
      </c>
      <c r="F10" s="34">
        <f>IF(Scenario="Bear",Inputs!F34,IF(Scenario="Base",Inputs!F35,Inputs!F36))</f>
      </c>
      <c r="G10" s="34">
        <f>IF(Scenario="Bear",Inputs!G34,IF(Scenario="Base",Inputs!G35,Inputs!G36))</f>
      </c>
      <c r="H10" s="34">
        <f>IF(Scenario="Bear",Inputs!H34,IF(Scenario="Base",Inputs!H35,Inputs!H36))</f>
      </c>
      <c r="I10" s="34">
        <f>IF(Scenario="Bear",Inputs!I34,IF(Scenario="Base",Inputs!I35,Inputs!I36))</f>
      </c>
      <c r="J10" s="34">
        <f>IF(Scenario="Bear",Inputs!J34,IF(Scenario="Base",Inputs!J35,Inputs!J36))</f>
      </c>
      <c r="K10" s="34">
        <f>IF(Scenario="Bear",Inputs!J34,IF(Scenario="Base",Inputs!J35,Inputs!J36))</f>
      </c>
      <c r="L10" s="34">
        <f>IF(Scenario="Bear",Inputs!J34,IF(Scenario="Base",Inputs!J35,Inputs!J36))</f>
      </c>
    </row>
    <row r="12" ht="18" customHeight="1" spans="2:12" x14ac:dyDescent="0.25">
      <c r="B12" s="5" t="s">
        <v>146</v>
      </c>
      <c r="C12" s="6"/>
      <c r="D12" s="6"/>
      <c r="E12" s="6"/>
      <c r="F12" s="6"/>
      <c r="G12" s="6"/>
      <c r="H12" s="6"/>
      <c r="I12" s="6"/>
      <c r="J12" s="6"/>
      <c r="K12" s="6"/>
      <c r="L12" s="6"/>
    </row>
    <row r="13" spans="2:12" x14ac:dyDescent="0.25">
      <c r="B13" s="23" t="s">
        <v>75</v>
      </c>
      <c r="C13" s="16" t="s">
        <v>65</v>
      </c>
      <c r="E13" s="32">
        <f>EBITDA_0</f>
      </c>
      <c r="F13" s="28">
        <f>IF(Op_Build="EBITDA",E13*(1+EBITDA_Growth),F9*F10)</f>
      </c>
      <c r="G13" s="28">
        <f>IF(Op_Build="EBITDA",F13*(1+EBITDA_Growth),G9*G10)</f>
      </c>
      <c r="H13" s="28">
        <f>IF(Op_Build="EBITDA",G13*(1+EBITDA_Growth),H9*H10)</f>
      </c>
      <c r="I13" s="28">
        <f>IF(Op_Build="EBITDA",H13*(1+EBITDA_Growth),I9*I10)</f>
      </c>
      <c r="J13" s="28">
        <f>IF(Op_Build="EBITDA",I13*(1+EBITDA_Growth),J9*J10)</f>
      </c>
      <c r="K13" s="28">
        <f>IF(Op_Build="EBITDA",J13*(1+EBITDA_Growth),K9*K10)</f>
      </c>
      <c r="L13" s="28">
        <f>IF(Op_Build="EBITDA",K13*(1+EBITDA_Growth),L9*L10)</f>
      </c>
    </row>
    <row r="14" spans="2:12" x14ac:dyDescent="0.25">
      <c r="B14" s="1" t="s">
        <v>79</v>
      </c>
      <c r="C14" s="16" t="s">
        <v>65</v>
      </c>
      <c r="F14" s="26">
        <f>IF(Op_Build="EBITDA",DA_EBITDA*F13,DA_Revenue*F9)</f>
      </c>
      <c r="G14" s="26">
        <f>IF(Op_Build="EBITDA",DA_EBITDA*G13,DA_Revenue*G9)</f>
      </c>
      <c r="H14" s="26">
        <f>IF(Op_Build="EBITDA",DA_EBITDA*H13,DA_Revenue*H9)</f>
      </c>
      <c r="I14" s="26">
        <f>IF(Op_Build="EBITDA",DA_EBITDA*I13,DA_Revenue*I9)</f>
      </c>
      <c r="J14" s="26">
        <f>IF(Op_Build="EBITDA",DA_EBITDA*J13,DA_Revenue*J9)</f>
      </c>
      <c r="K14" s="26">
        <f>IF(Op_Build="EBITDA",DA_EBITDA*K13,DA_Revenue*K9)</f>
      </c>
      <c r="L14" s="26">
        <f>IF(Op_Build="EBITDA",DA_EBITDA*L13,DA_Revenue*L9)</f>
      </c>
    </row>
    <row r="15" spans="2:12" x14ac:dyDescent="0.25">
      <c r="B15" s="1" t="s">
        <v>147</v>
      </c>
      <c r="C15" s="16" t="s">
        <v>65</v>
      </c>
      <c r="F15" s="26">
        <f>F13-F14</f>
      </c>
      <c r="G15" s="26">
        <f>G13-G14</f>
      </c>
      <c r="H15" s="26">
        <f>H13-H14</f>
      </c>
      <c r="I15" s="26">
        <f>I13-I14</f>
      </c>
      <c r="J15" s="26">
        <f>J13-J14</f>
      </c>
      <c r="K15" s="26">
        <f>K13-K14</f>
      </c>
      <c r="L15" s="26">
        <f>L13-L14</f>
      </c>
    </row>
    <row r="16" spans="2:12" x14ac:dyDescent="0.25">
      <c r="B16" s="1" t="s">
        <v>81</v>
      </c>
      <c r="C16" s="16" t="s">
        <v>65</v>
      </c>
      <c r="F16" s="26">
        <f>IF(Op_Build="EBITDA",Capex_EBITDA*F13,Capex_Revenue*F9)</f>
      </c>
      <c r="G16" s="26">
        <f>IF(Op_Build="EBITDA",Capex_EBITDA*G13,Capex_Revenue*G9)</f>
      </c>
      <c r="H16" s="26">
        <f>IF(Op_Build="EBITDA",Capex_EBITDA*H13,Capex_Revenue*H9)</f>
      </c>
      <c r="I16" s="26">
        <f>IF(Op_Build="EBITDA",Capex_EBITDA*I13,Capex_Revenue*I9)</f>
      </c>
      <c r="J16" s="26">
        <f>IF(Op_Build="EBITDA",Capex_EBITDA*J13,Capex_Revenue*J9)</f>
      </c>
      <c r="K16" s="26">
        <f>IF(Op_Build="EBITDA",Capex_EBITDA*K13,Capex_Revenue*K9)</f>
      </c>
      <c r="L16" s="26">
        <f>IF(Op_Build="EBITDA",Capex_EBITDA*L13,Capex_Revenue*L9)</f>
      </c>
    </row>
    <row r="17" spans="2:12" x14ac:dyDescent="0.25">
      <c r="B17" s="1" t="s">
        <v>82</v>
      </c>
      <c r="C17" s="16" t="s">
        <v>65</v>
      </c>
      <c r="F17" s="26">
        <f>IF(Op_Build="EBITDA",NWC_EBITDA*(F13-E13),NWC_Revenue*(F9-E9))</f>
      </c>
      <c r="G17" s="26">
        <f>IF(Op_Build="EBITDA",NWC_EBITDA*(G13-F13),NWC_Revenue*(G9-F9))</f>
      </c>
      <c r="H17" s="26">
        <f>IF(Op_Build="EBITDA",NWC_EBITDA*(H13-G13),NWC_Revenue*(H9-G9))</f>
      </c>
      <c r="I17" s="26">
        <f>IF(Op_Build="EBITDA",NWC_EBITDA*(I13-H13),NWC_Revenue*(I9-H9))</f>
      </c>
      <c r="J17" s="26">
        <f>IF(Op_Build="EBITDA",NWC_EBITDA*(J13-I13),NWC_Revenue*(J9-I9))</f>
      </c>
      <c r="K17" s="26">
        <f>IF(Op_Build="EBITDA",NWC_EBITDA*(K13-J13),NWC_Revenue*(K9-J9))</f>
      </c>
      <c r="L17" s="26">
        <f>IF(Op_Build="EBITDA",NWC_EBITDA*(L13-K13),NWC_Revenue*(L9-K9))</f>
      </c>
    </row>
  </sheetData>
  <conditionalFormatting sqref="F5:L17">
    <cfRule type="expression" dxfId="1" priority="1">
      <formula>F$4&gt;Holding_N</formula>
    </cfRule>
  </conditionalFormatting>
  <pageMargins left="0.5" right="0.5" top="0.6" bottom="0.6" header="0.3" footer="0.3"/>
  <pageSetup paperSize="9" orientation="landscape" fitToWidth="1" fitToHeight="1"/>
  <headerFooter>
    <oddFooter>&amp;L&amp;"Arial"&amp;8Swiss LBO Model v1.0.0&amp;C&amp;"Arial"&amp;8&amp;A&amp;R&amp;"Arial"&amp;8Page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49"/>
  <sheetViews>
    <sheetView workbookViewId="0" showGridLines="0" zoomScale="100">
      <pane xSplit="3" ySplit="4" topLeftCell="D5" activePane="bottomRight" state="frozen"/>
      <selection pane="bottomRight"/>
    </sheetView>
  </sheetViews>
  <sheetFormatPr defaultRowHeight="15" outlineLevelRow="0" outlineLevelCol="0" x14ac:dyDescent="55"/>
  <cols>
    <col min="1" max="1" width="2" style="1" customWidth="1"/>
    <col min="2" max="2" width="46" style="1" customWidth="1"/>
    <col min="3" max="3" width="10" style="1" customWidth="1"/>
    <col min="4" max="4" width="2" style="1" customWidth="1"/>
    <col min="5" max="12" width="11" style="1" customWidth="1"/>
  </cols>
  <sheetData>
    <row r="1" ht="21" customHeight="1" spans="2:12" x14ac:dyDescent="0.25">
      <c r="B1" s="2" t="s">
        <v>28</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spans="2:12" x14ac:dyDescent="0.25">
      <c r="B4" s="23" t="s">
        <v>92</v>
      </c>
      <c r="E4" s="24">
        <f>0</f>
      </c>
      <c r="F4" s="24">
        <f>E4+1</f>
      </c>
      <c r="G4" s="24">
        <f>F4+1</f>
      </c>
      <c r="H4" s="24">
        <f>G4+1</f>
      </c>
      <c r="I4" s="24">
        <f>H4+1</f>
      </c>
      <c r="J4" s="24">
        <f>I4+1</f>
      </c>
      <c r="K4" s="24">
        <f>J4+1</f>
      </c>
      <c r="L4" s="24">
        <f>K4+1</f>
      </c>
    </row>
    <row r="5" ht="18" customHeight="1" spans="2:12" x14ac:dyDescent="0.25">
      <c r="B5" s="5" t="s">
        <v>148</v>
      </c>
      <c r="C5" s="6"/>
      <c r="D5" s="6"/>
      <c r="E5" s="6"/>
      <c r="F5" s="6"/>
      <c r="G5" s="6"/>
      <c r="H5" s="6"/>
      <c r="I5" s="6"/>
      <c r="J5" s="6"/>
      <c r="K5" s="6"/>
      <c r="L5" s="6"/>
    </row>
    <row r="6" spans="2:12" x14ac:dyDescent="0.25">
      <c r="B6" s="1" t="s">
        <v>8</v>
      </c>
      <c r="C6" s="16" t="s">
        <v>72</v>
      </c>
      <c r="F6" s="35">
        <f>Inputs!F40</f>
      </c>
      <c r="G6" s="35">
        <f>Inputs!G40</f>
      </c>
      <c r="H6" s="35">
        <f>Inputs!H40</f>
      </c>
      <c r="I6" s="35">
        <f>Inputs!I40</f>
      </c>
      <c r="J6" s="35">
        <f>Inputs!J40</f>
      </c>
      <c r="K6" s="35">
        <f>Inputs!K40</f>
      </c>
      <c r="L6" s="35">
        <f>Inputs!L40</f>
      </c>
    </row>
    <row r="7" spans="2:12" x14ac:dyDescent="0.25">
      <c r="B7" s="1" t="s">
        <v>149</v>
      </c>
      <c r="C7" s="16" t="s">
        <v>72</v>
      </c>
      <c r="F7" s="34">
        <f>IF(SARON_Floor="Yes",MAX(F6,0),F6)</f>
      </c>
      <c r="G7" s="34">
        <f>IF(SARON_Floor="Yes",MAX(G6,0),G6)</f>
      </c>
      <c r="H7" s="34">
        <f>IF(SARON_Floor="Yes",MAX(H6,0),H6)</f>
      </c>
      <c r="I7" s="34">
        <f>IF(SARON_Floor="Yes",MAX(I6,0),I6)</f>
      </c>
      <c r="J7" s="34">
        <f>IF(SARON_Floor="Yes",MAX(J6,0),J6)</f>
      </c>
      <c r="K7" s="34">
        <f>IF(SARON_Floor="Yes",MAX(K6,0),K6)</f>
      </c>
      <c r="L7" s="34">
        <f>IF(SARON_Floor="Yes",MAX(L6,0),L6)</f>
      </c>
    </row>
    <row r="8" spans="2:12" x14ac:dyDescent="0.25">
      <c r="B8" s="1" t="s">
        <v>150</v>
      </c>
      <c r="C8" s="16" t="s">
        <v>72</v>
      </c>
      <c r="F8" s="34">
        <f>F7+Senior_Margin</f>
      </c>
      <c r="G8" s="34">
        <f>G7+Senior_Margin</f>
      </c>
      <c r="H8" s="34">
        <f>H7+Senior_Margin</f>
      </c>
      <c r="I8" s="34">
        <f>I7+Senior_Margin</f>
      </c>
      <c r="J8" s="34">
        <f>J7+Senior_Margin</f>
      </c>
      <c r="K8" s="34">
        <f>K7+Senior_Margin</f>
      </c>
      <c r="L8" s="34">
        <f>L7+Senior_Margin</f>
      </c>
    </row>
    <row r="9" spans="2:12" x14ac:dyDescent="0.25">
      <c r="B9" s="1" t="s">
        <v>109</v>
      </c>
      <c r="C9" s="16" t="s">
        <v>72</v>
      </c>
      <c r="F9" s="34">
        <f>IF(Junior_Type="Fixed",Junior_Rate,F7+Junior_Margin)</f>
      </c>
      <c r="G9" s="34">
        <f>IF(Junior_Type="Fixed",Junior_Rate,G7+Junior_Margin)</f>
      </c>
      <c r="H9" s="34">
        <f>IF(Junior_Type="Fixed",Junior_Rate,H7+Junior_Margin)</f>
      </c>
      <c r="I9" s="34">
        <f>IF(Junior_Type="Fixed",Junior_Rate,I7+Junior_Margin)</f>
      </c>
      <c r="J9" s="34">
        <f>IF(Junior_Type="Fixed",Junior_Rate,J7+Junior_Margin)</f>
      </c>
      <c r="K9" s="34">
        <f>IF(Junior_Type="Fixed",Junior_Rate,K7+Junior_Margin)</f>
      </c>
      <c r="L9" s="34">
        <f>IF(Junior_Type="Fixed",Junior_Rate,L7+Junior_Margin)</f>
      </c>
    </row>
    <row r="11" ht="18" customHeight="1" spans="2:12" x14ac:dyDescent="0.25">
      <c r="B11" s="5" t="s">
        <v>102</v>
      </c>
      <c r="C11" s="6"/>
      <c r="D11" s="6"/>
      <c r="E11" s="6"/>
      <c r="F11" s="6"/>
      <c r="G11" s="6"/>
      <c r="H11" s="6"/>
      <c r="I11" s="6"/>
      <c r="J11" s="6"/>
      <c r="K11" s="6"/>
      <c r="L11" s="6"/>
    </row>
    <row r="12" spans="2:12" x14ac:dyDescent="0.25">
      <c r="B12" s="1" t="s">
        <v>151</v>
      </c>
      <c r="C12" s="16" t="s">
        <v>65</v>
      </c>
      <c r="F12" s="26">
        <f>E16</f>
      </c>
      <c r="G12" s="26">
        <f>F16</f>
      </c>
      <c r="H12" s="26">
        <f>G16</f>
      </c>
      <c r="I12" s="26">
        <f>H16</f>
      </c>
      <c r="J12" s="26">
        <f>I16</f>
      </c>
      <c r="K12" s="26">
        <f>J16</f>
      </c>
      <c r="L12" s="26">
        <f>K16</f>
      </c>
    </row>
    <row r="13" spans="2:12" x14ac:dyDescent="0.25">
      <c r="B13" s="1" t="s">
        <v>152</v>
      </c>
      <c r="C13" s="16" t="s">
        <v>65</v>
      </c>
      <c r="F13" s="26">
        <f>F8*F12</f>
      </c>
      <c r="G13" s="26">
        <f>G8*G12</f>
      </c>
      <c r="H13" s="26">
        <f>H8*H12</f>
      </c>
      <c r="I13" s="26">
        <f>I8*I12</f>
      </c>
      <c r="J13" s="26">
        <f>J8*J12</f>
      </c>
      <c r="K13" s="26">
        <f>K8*K12</f>
      </c>
      <c r="L13" s="26">
        <f>L8*L12</f>
      </c>
    </row>
    <row r="14" spans="2:12" x14ac:dyDescent="0.25">
      <c r="B14" s="1" t="s">
        <v>105</v>
      </c>
      <c r="C14" s="16" t="s">
        <v>65</v>
      </c>
      <c r="F14" s="26">
        <f>MIN(F12,Senior_Amort*Senior_0)</f>
      </c>
      <c r="G14" s="26">
        <f>MIN(G12,Senior_Amort*Senior_0)</f>
      </c>
      <c r="H14" s="26">
        <f>MIN(H12,Senior_Amort*Senior_0)</f>
      </c>
      <c r="I14" s="26">
        <f>MIN(I12,Senior_Amort*Senior_0)</f>
      </c>
      <c r="J14" s="26">
        <f>MIN(J12,Senior_Amort*Senior_0)</f>
      </c>
      <c r="K14" s="26">
        <f>MIN(K12,Senior_Amort*Senior_0)</f>
      </c>
      <c r="L14" s="26">
        <f>MIN(L12,Senior_Amort*Senior_0)</f>
      </c>
    </row>
    <row r="15" spans="2:12" x14ac:dyDescent="0.25">
      <c r="B15" s="1" t="s">
        <v>107</v>
      </c>
      <c r="C15" s="16" t="s">
        <v>65</v>
      </c>
      <c r="F15" s="26">
        <f>MIN(F12-F14,Sweep_Share*F43)</f>
      </c>
      <c r="G15" s="26">
        <f>MIN(G12-G14,Sweep_Share*G43)</f>
      </c>
      <c r="H15" s="26">
        <f>MIN(H12-H14,Sweep_Share*H43)</f>
      </c>
      <c r="I15" s="26">
        <f>MIN(I12-I14,Sweep_Share*I43)</f>
      </c>
      <c r="J15" s="26">
        <f>MIN(J12-J14,Sweep_Share*J43)</f>
      </c>
      <c r="K15" s="26">
        <f>MIN(K12-K14,Sweep_Share*K43)</f>
      </c>
      <c r="L15" s="26">
        <f>MIN(L12-L14,Sweep_Share*L43)</f>
      </c>
    </row>
    <row r="16" spans="2:12" x14ac:dyDescent="0.25">
      <c r="B16" s="23" t="s">
        <v>153</v>
      </c>
      <c r="C16" s="16" t="s">
        <v>65</v>
      </c>
      <c r="E16" s="32">
        <f>Senior_0</f>
      </c>
      <c r="F16" s="28">
        <f>F12-F14-F15</f>
      </c>
      <c r="G16" s="28">
        <f>G12-G14-G15</f>
      </c>
      <c r="H16" s="28">
        <f>H12-H14-H15</f>
      </c>
      <c r="I16" s="28">
        <f>I12-I14-I15</f>
      </c>
      <c r="J16" s="28">
        <f>J12-J14-J15</f>
      </c>
      <c r="K16" s="28">
        <f>K12-K14-K15</f>
      </c>
      <c r="L16" s="28">
        <f>L12-L14-L15</f>
      </c>
    </row>
    <row r="18" ht="18" customHeight="1" spans="2:12" x14ac:dyDescent="0.25">
      <c r="B18" s="5" t="s">
        <v>109</v>
      </c>
      <c r="C18" s="6"/>
      <c r="D18" s="6"/>
      <c r="E18" s="6"/>
      <c r="F18" s="6"/>
      <c r="G18" s="6"/>
      <c r="H18" s="6"/>
      <c r="I18" s="6"/>
      <c r="J18" s="6"/>
      <c r="K18" s="6"/>
      <c r="L18" s="6"/>
    </row>
    <row r="19" spans="2:12" x14ac:dyDescent="0.25">
      <c r="B19" s="1" t="s">
        <v>151</v>
      </c>
      <c r="C19" s="16" t="s">
        <v>65</v>
      </c>
      <c r="F19" s="26">
        <f>E22</f>
      </c>
      <c r="G19" s="26">
        <f>F22</f>
      </c>
      <c r="H19" s="26">
        <f>G22</f>
      </c>
      <c r="I19" s="26">
        <f>H22</f>
      </c>
      <c r="J19" s="26">
        <f>I22</f>
      </c>
      <c r="K19" s="26">
        <f>J22</f>
      </c>
      <c r="L19" s="26">
        <f>K22</f>
      </c>
    </row>
    <row r="20" spans="2:12" x14ac:dyDescent="0.25">
      <c r="B20" s="1" t="s">
        <v>152</v>
      </c>
      <c r="C20" s="16" t="s">
        <v>65</v>
      </c>
      <c r="F20" s="26">
        <f>F9*F19</f>
      </c>
      <c r="G20" s="26">
        <f>G9*G19</f>
      </c>
      <c r="H20" s="26">
        <f>H9*H19</f>
      </c>
      <c r="I20" s="26">
        <f>I9*I19</f>
      </c>
      <c r="J20" s="26">
        <f>J9*J19</f>
      </c>
      <c r="K20" s="26">
        <f>K9*K19</f>
      </c>
      <c r="L20" s="26">
        <f>L9*L19</f>
      </c>
    </row>
    <row r="21" spans="2:12" x14ac:dyDescent="0.25">
      <c r="B21" s="19" t="s">
        <v>154</v>
      </c>
      <c r="C21" s="16" t="s">
        <v>65</v>
      </c>
      <c r="F21" s="26">
        <f>IF(Junior_Payment="PIK",F20,0)</f>
      </c>
      <c r="G21" s="26">
        <f>IF(Junior_Payment="PIK",G20,0)</f>
      </c>
      <c r="H21" s="26">
        <f>IF(Junior_Payment="PIK",H20,0)</f>
      </c>
      <c r="I21" s="26">
        <f>IF(Junior_Payment="PIK",I20,0)</f>
      </c>
      <c r="J21" s="26">
        <f>IF(Junior_Payment="PIK",J20,0)</f>
      </c>
      <c r="K21" s="26">
        <f>IF(Junior_Payment="PIK",K20,0)</f>
      </c>
      <c r="L21" s="26">
        <f>IF(Junior_Payment="PIK",L20,0)</f>
      </c>
    </row>
    <row r="22" spans="2:12" x14ac:dyDescent="0.25">
      <c r="B22" s="23" t="s">
        <v>153</v>
      </c>
      <c r="C22" s="16" t="s">
        <v>65</v>
      </c>
      <c r="E22" s="32">
        <f>Junior_0</f>
      </c>
      <c r="F22" s="28">
        <f>F19+F21</f>
      </c>
      <c r="G22" s="28">
        <f>G19+G21</f>
      </c>
      <c r="H22" s="28">
        <f>H19+H21</f>
      </c>
      <c r="I22" s="28">
        <f>I19+I21</f>
      </c>
      <c r="J22" s="28">
        <f>J19+J21</f>
      </c>
      <c r="K22" s="28">
        <f>K19+K21</f>
      </c>
      <c r="L22" s="28">
        <f>L19+L21</f>
      </c>
    </row>
    <row r="24" ht="18" customHeight="1" spans="2:12" x14ac:dyDescent="0.25">
      <c r="B24" s="5" t="s">
        <v>113</v>
      </c>
      <c r="C24" s="6"/>
      <c r="D24" s="6"/>
      <c r="E24" s="6"/>
      <c r="F24" s="6"/>
      <c r="G24" s="6"/>
      <c r="H24" s="6"/>
      <c r="I24" s="6"/>
      <c r="J24" s="6"/>
      <c r="K24" s="6"/>
      <c r="L24" s="6"/>
    </row>
    <row r="25" spans="2:12" x14ac:dyDescent="0.25">
      <c r="B25" s="1" t="s">
        <v>151</v>
      </c>
      <c r="C25" s="16" t="s">
        <v>65</v>
      </c>
      <c r="F25" s="26">
        <f>E27</f>
      </c>
      <c r="G25" s="26">
        <f>F27</f>
      </c>
      <c r="H25" s="26">
        <f>G27</f>
      </c>
      <c r="I25" s="26">
        <f>H27</f>
      </c>
      <c r="J25" s="26">
        <f>I27</f>
      </c>
      <c r="K25" s="26">
        <f>J27</f>
      </c>
      <c r="L25" s="26">
        <f>K27</f>
      </c>
    </row>
    <row r="26" spans="2:12" x14ac:dyDescent="0.25">
      <c r="B26" s="1" t="s">
        <v>155</v>
      </c>
      <c r="C26" s="16" t="s">
        <v>65</v>
      </c>
      <c r="F26" s="26">
        <f>Cash_Rate*MAX(0,F25)</f>
      </c>
      <c r="G26" s="26">
        <f>Cash_Rate*MAX(0,G25)</f>
      </c>
      <c r="H26" s="26">
        <f>Cash_Rate*MAX(0,H25)</f>
      </c>
      <c r="I26" s="26">
        <f>Cash_Rate*MAX(0,I25)</f>
      </c>
      <c r="J26" s="26">
        <f>Cash_Rate*MAX(0,J25)</f>
      </c>
      <c r="K26" s="26">
        <f>Cash_Rate*MAX(0,K25)</f>
      </c>
      <c r="L26" s="26">
        <f>Cash_Rate*MAX(0,L25)</f>
      </c>
    </row>
    <row r="27" spans="2:12" x14ac:dyDescent="0.25">
      <c r="B27" s="23" t="s">
        <v>153</v>
      </c>
      <c r="C27" s="16" t="s">
        <v>65</v>
      </c>
      <c r="E27" s="32">
        <f>Cash_0</f>
      </c>
      <c r="F27" s="28">
        <f>F25+F42-F15</f>
      </c>
      <c r="G27" s="28">
        <f>G25+G42-G15</f>
      </c>
      <c r="H27" s="28">
        <f>H25+H42-H15</f>
      </c>
      <c r="I27" s="28">
        <f>I25+I42-I15</f>
      </c>
      <c r="J27" s="28">
        <f>J25+J42-J15</f>
      </c>
      <c r="K27" s="28">
        <f>K25+K42-K15</f>
      </c>
      <c r="L27" s="28">
        <f>L25+L42-L15</f>
      </c>
    </row>
    <row r="29" ht="18" customHeight="1" spans="2:12" x14ac:dyDescent="0.25">
      <c r="B29" s="5" t="s">
        <v>45</v>
      </c>
      <c r="C29" s="6"/>
      <c r="D29" s="6"/>
      <c r="E29" s="6"/>
      <c r="F29" s="6"/>
      <c r="G29" s="6"/>
      <c r="H29" s="6"/>
      <c r="I29" s="6"/>
      <c r="J29" s="6"/>
      <c r="K29" s="6"/>
      <c r="L29" s="6"/>
    </row>
    <row r="30" spans="2:12" x14ac:dyDescent="0.25">
      <c r="B30" s="1" t="s">
        <v>147</v>
      </c>
      <c r="C30" s="16" t="s">
        <v>65</v>
      </c>
      <c r="F30" s="32">
        <f>Operations!F15</f>
      </c>
      <c r="G30" s="32">
        <f>Operations!G15</f>
      </c>
      <c r="H30" s="32">
        <f>Operations!H15</f>
      </c>
      <c r="I30" s="32">
        <f>Operations!I15</f>
      </c>
      <c r="J30" s="32">
        <f>Operations!J15</f>
      </c>
      <c r="K30" s="32">
        <f>Operations!K15</f>
      </c>
      <c r="L30" s="32">
        <f>Operations!L15</f>
      </c>
    </row>
    <row r="31" spans="2:12" x14ac:dyDescent="0.25">
      <c r="B31" s="1" t="s">
        <v>156</v>
      </c>
      <c r="C31" s="16" t="s">
        <v>65</v>
      </c>
      <c r="F31" s="26">
        <f>F30+F26-IF(Interest_Deductible="Yes",F13+F20,0)</f>
      </c>
      <c r="G31" s="26">
        <f>G30+G26-IF(Interest_Deductible="Yes",G13+G20,0)</f>
      </c>
      <c r="H31" s="26">
        <f>H30+H26-IF(Interest_Deductible="Yes",H13+H20,0)</f>
      </c>
      <c r="I31" s="26">
        <f>I30+I26-IF(Interest_Deductible="Yes",I13+I20,0)</f>
      </c>
      <c r="J31" s="26">
        <f>J30+J26-IF(Interest_Deductible="Yes",J13+J20,0)</f>
      </c>
      <c r="K31" s="26">
        <f>K30+K26-IF(Interest_Deductible="Yes",K13+K20,0)</f>
      </c>
      <c r="L31" s="26">
        <f>L30+L26-IF(Interest_Deductible="Yes",L13+L20,0)</f>
      </c>
    </row>
    <row r="32" spans="2:12" x14ac:dyDescent="0.25">
      <c r="B32" s="1" t="s">
        <v>157</v>
      </c>
      <c r="C32" s="16" t="s">
        <v>65</v>
      </c>
      <c r="F32" s="26">
        <f>Tax_Rate*MAX(0,F31)</f>
      </c>
      <c r="G32" s="26">
        <f>Tax_Rate*MAX(0,G31)</f>
      </c>
      <c r="H32" s="26">
        <f>Tax_Rate*MAX(0,H31)</f>
      </c>
      <c r="I32" s="26">
        <f>Tax_Rate*MAX(0,I31)</f>
      </c>
      <c r="J32" s="26">
        <f>Tax_Rate*MAX(0,J31)</f>
      </c>
      <c r="K32" s="26">
        <f>Tax_Rate*MAX(0,K31)</f>
      </c>
      <c r="L32" s="26">
        <f>Tax_Rate*MAX(0,L31)</f>
      </c>
    </row>
    <row r="34" ht="18" customHeight="1" spans="2:12" x14ac:dyDescent="0.25">
      <c r="B34" s="5" t="s">
        <v>158</v>
      </c>
      <c r="C34" s="6"/>
      <c r="D34" s="6"/>
      <c r="E34" s="6"/>
      <c r="F34" s="6"/>
      <c r="G34" s="6"/>
      <c r="H34" s="6"/>
      <c r="I34" s="6"/>
      <c r="J34" s="6"/>
      <c r="K34" s="6"/>
      <c r="L34" s="6"/>
    </row>
    <row r="35" spans="2:12" x14ac:dyDescent="0.25">
      <c r="B35" s="1" t="s">
        <v>75</v>
      </c>
      <c r="C35" s="16" t="s">
        <v>65</v>
      </c>
      <c r="F35" s="32">
        <f>Operations!F13</f>
      </c>
      <c r="G35" s="32">
        <f>Operations!G13</f>
      </c>
      <c r="H35" s="32">
        <f>Operations!H13</f>
      </c>
      <c r="I35" s="32">
        <f>Operations!I13</f>
      </c>
      <c r="J35" s="32">
        <f>Operations!J13</f>
      </c>
      <c r="K35" s="32">
        <f>Operations!K13</f>
      </c>
      <c r="L35" s="32">
        <f>Operations!L13</f>
      </c>
    </row>
    <row r="36" spans="2:12" x14ac:dyDescent="0.25">
      <c r="B36" s="19" t="s">
        <v>159</v>
      </c>
      <c r="C36" s="16" t="s">
        <v>65</v>
      </c>
      <c r="F36" s="26">
        <f>F32</f>
      </c>
      <c r="G36" s="26">
        <f>G32</f>
      </c>
      <c r="H36" s="26">
        <f>H32</f>
      </c>
      <c r="I36" s="26">
        <f>I32</f>
      </c>
      <c r="J36" s="26">
        <f>J32</f>
      </c>
      <c r="K36" s="26">
        <f>K32</f>
      </c>
      <c r="L36" s="26">
        <f>L32</f>
      </c>
    </row>
    <row r="37" spans="2:12" x14ac:dyDescent="0.25">
      <c r="B37" s="19" t="s">
        <v>160</v>
      </c>
      <c r="C37" s="16" t="s">
        <v>65</v>
      </c>
      <c r="F37" s="32">
        <f>Operations!F16</f>
      </c>
      <c r="G37" s="32">
        <f>Operations!G16</f>
      </c>
      <c r="H37" s="32">
        <f>Operations!H16</f>
      </c>
      <c r="I37" s="32">
        <f>Operations!I16</f>
      </c>
      <c r="J37" s="32">
        <f>Operations!J16</f>
      </c>
      <c r="K37" s="32">
        <f>Operations!K16</f>
      </c>
      <c r="L37" s="32">
        <f>Operations!L16</f>
      </c>
    </row>
    <row r="38" spans="2:12" x14ac:dyDescent="0.25">
      <c r="B38" s="19" t="s">
        <v>161</v>
      </c>
      <c r="C38" s="16" t="s">
        <v>65</v>
      </c>
      <c r="F38" s="32">
        <f>Operations!F17</f>
      </c>
      <c r="G38" s="32">
        <f>Operations!G17</f>
      </c>
      <c r="H38" s="32">
        <f>Operations!H17</f>
      </c>
      <c r="I38" s="32">
        <f>Operations!I17</f>
      </c>
      <c r="J38" s="32">
        <f>Operations!J17</f>
      </c>
      <c r="K38" s="32">
        <f>Operations!K17</f>
      </c>
      <c r="L38" s="32">
        <f>Operations!L17</f>
      </c>
    </row>
    <row r="39" spans="2:12" x14ac:dyDescent="0.25">
      <c r="B39" s="23" t="s">
        <v>162</v>
      </c>
      <c r="C39" s="16" t="s">
        <v>65</v>
      </c>
      <c r="F39" s="28">
        <f>F35-F36-F37-F38</f>
      </c>
      <c r="G39" s="28">
        <f>G35-G36-G37-G38</f>
      </c>
      <c r="H39" s="28">
        <f>H35-H36-H37-H38</f>
      </c>
      <c r="I39" s="28">
        <f>I35-I36-I37-I38</f>
      </c>
      <c r="J39" s="28">
        <f>J35-J36-J37-J38</f>
      </c>
      <c r="K39" s="28">
        <f>K35-K36-K37-K38</f>
      </c>
      <c r="L39" s="28">
        <f>L35-L36-L37-L38</f>
      </c>
    </row>
    <row r="40" spans="2:12" x14ac:dyDescent="0.25">
      <c r="B40" s="19" t="s">
        <v>163</v>
      </c>
      <c r="C40" s="16" t="s">
        <v>65</v>
      </c>
      <c r="F40" s="26">
        <f>F13+(F20-F21)-F26</f>
      </c>
      <c r="G40" s="26">
        <f>G13+(G20-G21)-G26</f>
      </c>
      <c r="H40" s="26">
        <f>H13+(H20-H21)-H26</f>
      </c>
      <c r="I40" s="26">
        <f>I13+(I20-I21)-I26</f>
      </c>
      <c r="J40" s="26">
        <f>J13+(J20-J21)-J26</f>
      </c>
      <c r="K40" s="26">
        <f>K13+(K20-K21)-K26</f>
      </c>
      <c r="L40" s="26">
        <f>L13+(L20-L21)-L26</f>
      </c>
    </row>
    <row r="41" spans="2:12" x14ac:dyDescent="0.25">
      <c r="B41" s="19" t="s">
        <v>164</v>
      </c>
      <c r="C41" s="16" t="s">
        <v>65</v>
      </c>
      <c r="F41" s="26">
        <f>F14</f>
      </c>
      <c r="G41" s="26">
        <f>G14</f>
      </c>
      <c r="H41" s="26">
        <f>H14</f>
      </c>
      <c r="I41" s="26">
        <f>I14</f>
      </c>
      <c r="J41" s="26">
        <f>J14</f>
      </c>
      <c r="K41" s="26">
        <f>K14</f>
      </c>
      <c r="L41" s="26">
        <f>L14</f>
      </c>
    </row>
    <row r="42" spans="2:12" x14ac:dyDescent="0.25">
      <c r="B42" s="23" t="s">
        <v>165</v>
      </c>
      <c r="C42" s="16" t="s">
        <v>65</v>
      </c>
      <c r="F42" s="28">
        <f>F39-F40-F41</f>
      </c>
      <c r="G42" s="28">
        <f>G39-G40-G41</f>
      </c>
      <c r="H42" s="28">
        <f>H39-H40-H41</f>
      </c>
      <c r="I42" s="28">
        <f>I39-I40-I41</f>
      </c>
      <c r="J42" s="28">
        <f>J39-J40-J41</f>
      </c>
      <c r="K42" s="28">
        <f>K39-K40-K41</f>
      </c>
      <c r="L42" s="28">
        <f>L39-L40-L41</f>
      </c>
    </row>
    <row r="43" spans="2:12" x14ac:dyDescent="0.25">
      <c r="B43" s="1" t="s">
        <v>166</v>
      </c>
      <c r="C43" s="16" t="s">
        <v>65</v>
      </c>
      <c r="F43" s="26">
        <f>MAX(0,F25+F42-Min_Cash)</f>
      </c>
      <c r="G43" s="26">
        <f>MAX(0,G25+G42-Min_Cash)</f>
      </c>
      <c r="H43" s="26">
        <f>MAX(0,H25+H42-Min_Cash)</f>
      </c>
      <c r="I43" s="26">
        <f>MAX(0,I25+I42-Min_Cash)</f>
      </c>
      <c r="J43" s="26">
        <f>MAX(0,J25+J42-Min_Cash)</f>
      </c>
      <c r="K43" s="26">
        <f>MAX(0,K25+K42-Min_Cash)</f>
      </c>
      <c r="L43" s="26">
        <f>MAX(0,L25+L42-Min_Cash)</f>
      </c>
    </row>
    <row r="45" ht="18" customHeight="1" spans="2:12" x14ac:dyDescent="0.25">
      <c r="B45" s="5" t="s">
        <v>167</v>
      </c>
      <c r="C45" s="6"/>
      <c r="D45" s="6"/>
      <c r="E45" s="6"/>
      <c r="F45" s="6"/>
      <c r="G45" s="6"/>
      <c r="H45" s="6"/>
      <c r="I45" s="6"/>
      <c r="J45" s="6"/>
      <c r="K45" s="6"/>
      <c r="L45" s="6"/>
    </row>
    <row r="46" spans="2:12" x14ac:dyDescent="0.25">
      <c r="B46" s="1" t="s">
        <v>168</v>
      </c>
      <c r="C46" s="16" t="s">
        <v>65</v>
      </c>
      <c r="E46" s="26">
        <f>Senior_0+Junior_0-Cash_0</f>
      </c>
      <c r="F46" s="26">
        <f>F16+F22-F27</f>
      </c>
      <c r="G46" s="26">
        <f>G16+G22-G27</f>
      </c>
      <c r="H46" s="26">
        <f>H16+H22-H27</f>
      </c>
      <c r="I46" s="26">
        <f>I16+I22-I27</f>
      </c>
      <c r="J46" s="26">
        <f>J16+J22-J27</f>
      </c>
      <c r="K46" s="26">
        <f>K16+K22-K27</f>
      </c>
      <c r="L46" s="26">
        <f>L16+L22-L27</f>
      </c>
    </row>
    <row r="47" spans="2:12" x14ac:dyDescent="0.25">
      <c r="B47" s="1" t="s">
        <v>169</v>
      </c>
      <c r="C47" s="16" t="s">
        <v>63</v>
      </c>
      <c r="F47" s="27">
        <f>IF(F35&gt;0,F46/F35,"n/a")</f>
      </c>
      <c r="G47" s="27">
        <f>IF(G35&gt;0,G46/G35,"n/a")</f>
      </c>
      <c r="H47" s="27">
        <f>IF(H35&gt;0,H46/H35,"n/a")</f>
      </c>
      <c r="I47" s="27">
        <f>IF(I35&gt;0,I46/I35,"n/a")</f>
      </c>
      <c r="J47" s="27">
        <f>IF(J35&gt;0,J46/J35,"n/a")</f>
      </c>
      <c r="K47" s="27">
        <f>IF(K35&gt;0,K46/K35,"n/a")</f>
      </c>
      <c r="L47" s="27">
        <f>IF(L35&gt;0,L46/L35,"n/a")</f>
      </c>
    </row>
    <row r="48" spans="2:12" x14ac:dyDescent="0.25">
      <c r="B48" s="1" t="s">
        <v>170</v>
      </c>
      <c r="C48" s="16" t="s">
        <v>63</v>
      </c>
      <c r="F48" s="27">
        <f>IF(F40&gt;0,F35/F40,"n/a")</f>
      </c>
      <c r="G48" s="27">
        <f>IF(G40&gt;0,G35/G40,"n/a")</f>
      </c>
      <c r="H48" s="27">
        <f>IF(H40&gt;0,H35/H40,"n/a")</f>
      </c>
      <c r="I48" s="27">
        <f>IF(I40&gt;0,I35/I40,"n/a")</f>
      </c>
      <c r="J48" s="27">
        <f>IF(J40&gt;0,J35/J40,"n/a")</f>
      </c>
      <c r="K48" s="27">
        <f>IF(K40&gt;0,K35/K40,"n/a")</f>
      </c>
      <c r="L48" s="27">
        <f>IF(L40&gt;0,L35/L40,"n/a")</f>
      </c>
    </row>
    <row r="49" spans="2:12" x14ac:dyDescent="0.25">
      <c r="B49" s="1" t="s">
        <v>171</v>
      </c>
      <c r="E49" s="29">
        <f>MIN(F49:L49)</f>
      </c>
      <c r="F49" s="36">
        <f>IF(AND(F27&lt;0,Operations!F5=1),F4,"")</f>
      </c>
      <c r="G49" s="36">
        <f>IF(AND(G27&lt;0,Operations!G5=1),G4,"")</f>
      </c>
      <c r="H49" s="36">
        <f>IF(AND(H27&lt;0,Operations!H5=1),H4,"")</f>
      </c>
      <c r="I49" s="36">
        <f>IF(AND(I27&lt;0,Operations!I5=1),I4,"")</f>
      </c>
      <c r="J49" s="36">
        <f>IF(AND(J27&lt;0,Operations!J5=1),J4,"")</f>
      </c>
      <c r="K49" s="36">
        <f>IF(AND(K27&lt;0,Operations!K5=1),K4,"")</f>
      </c>
      <c r="L49" s="36">
        <f>IF(AND(L27&lt;0,Operations!L5=1),L4,"")</f>
      </c>
    </row>
  </sheetData>
  <conditionalFormatting sqref="F6:L49">
    <cfRule type="expression" dxfId="2" priority="1">
      <formula>F$4&gt;Holding_N</formula>
    </cfRule>
  </conditionalFormatting>
  <pageMargins left="0.5" right="0.5" top="0.6" bottom="0.6" header="0.3" footer="0.3"/>
  <pageSetup paperSize="9" orientation="landscape" fitToWidth="1" fitToHeight="0"/>
  <headerFooter>
    <oddFooter>&amp;L&amp;"Arial"&amp;8Swiss LBO Model v1.0.0&amp;C&amp;"Arial"&amp;8&amp;A&amp;R&amp;"Arial"&amp;8Page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46"/>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2" style="1" customWidth="1"/>
    <col min="3" max="3" width="10" style="1" customWidth="1"/>
    <col min="4" max="4" width="2" style="1" customWidth="1"/>
    <col min="5" max="5" width="14" style="1" customWidth="1"/>
    <col min="6" max="12" width="11" style="1" customWidth="1"/>
  </cols>
  <sheetData>
    <row r="1" ht="21" customHeight="1" spans="2:12" x14ac:dyDescent="0.25">
      <c r="B1" s="2" t="s">
        <v>30</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ht="18" customHeight="1" spans="2:6" x14ac:dyDescent="0.25">
      <c r="B4" s="5" t="s">
        <v>172</v>
      </c>
      <c r="C4" s="6"/>
      <c r="D4" s="6"/>
      <c r="E4" s="6"/>
      <c r="F4" s="6"/>
    </row>
    <row r="5" spans="2:5" x14ac:dyDescent="0.25">
      <c r="B5" s="1" t="s">
        <v>58</v>
      </c>
      <c r="C5" s="16" t="s">
        <v>59</v>
      </c>
      <c r="E5" s="37">
        <f>Holding_N</f>
      </c>
    </row>
    <row r="6" spans="2:5" x14ac:dyDescent="0.25">
      <c r="B6" s="1" t="s">
        <v>173</v>
      </c>
      <c r="C6" s="16" t="s">
        <v>65</v>
      </c>
      <c r="E6" s="26">
        <f>INDEX(Operations!$F$13:$L$13,Holding_N)</f>
      </c>
    </row>
    <row r="7" spans="2:5" x14ac:dyDescent="0.25">
      <c r="B7" s="1" t="s">
        <v>66</v>
      </c>
      <c r="C7" s="16" t="s">
        <v>63</v>
      </c>
      <c r="E7" s="38">
        <f>Exit_Multiple_Used</f>
      </c>
    </row>
    <row r="8" spans="2:5" x14ac:dyDescent="0.25">
      <c r="B8" s="1" t="s">
        <v>174</v>
      </c>
      <c r="C8" s="16" t="s">
        <v>65</v>
      </c>
      <c r="E8" s="26">
        <f>Exit_Multiple_Used*EBITDA_Exit</f>
      </c>
    </row>
    <row r="9" spans="2:5" x14ac:dyDescent="0.25">
      <c r="B9" s="1" t="s">
        <v>175</v>
      </c>
      <c r="C9" s="16" t="s">
        <v>65</v>
      </c>
      <c r="E9" s="26">
        <f>Exit_Cost*Exit_EV</f>
      </c>
    </row>
    <row r="10" spans="2:5" x14ac:dyDescent="0.25">
      <c r="B10" s="1" t="s">
        <v>176</v>
      </c>
      <c r="C10" s="16" t="s">
        <v>65</v>
      </c>
      <c r="E10" s="26">
        <f>INDEX(Net_Debt_Path,Holding_N)</f>
      </c>
    </row>
    <row r="11" spans="2:5" x14ac:dyDescent="0.25">
      <c r="B11" s="1" t="s">
        <v>177</v>
      </c>
      <c r="C11" s="16" t="s">
        <v>65</v>
      </c>
      <c r="E11" s="26">
        <f>Exit_Multiple_Used*EBITDA_Exit*(1-Exit_Cost)-Net_Debt_Exit</f>
      </c>
    </row>
    <row r="12" spans="2:5" x14ac:dyDescent="0.25">
      <c r="B12" s="1" t="s">
        <v>178</v>
      </c>
      <c r="C12" s="16" t="s">
        <v>65</v>
      </c>
      <c r="E12" s="33">
        <f>MAX(0,Equity_Exit_Raw)</f>
      </c>
    </row>
    <row r="14" ht="18" customHeight="1" spans="2:6" x14ac:dyDescent="0.25">
      <c r="B14" s="5" t="s">
        <v>179</v>
      </c>
      <c r="C14" s="6"/>
      <c r="D14" s="6"/>
      <c r="E14" s="6"/>
      <c r="F14" s="6"/>
    </row>
    <row r="15" spans="2:5" x14ac:dyDescent="0.25">
      <c r="B15" s="1" t="s">
        <v>180</v>
      </c>
      <c r="C15" s="16" t="s">
        <v>65</v>
      </c>
      <c r="E15" s="32">
        <f>Equity_In</f>
      </c>
    </row>
    <row r="16" spans="2:5" x14ac:dyDescent="0.25">
      <c r="B16" s="23" t="s">
        <v>13</v>
      </c>
      <c r="C16" s="16" t="s">
        <v>63</v>
      </c>
      <c r="E16" s="39">
        <f>IF(Equity_In&gt;0,Equity_Exit/Equity_In,"n/a")</f>
      </c>
    </row>
    <row r="17" spans="2:5" x14ac:dyDescent="0.25">
      <c r="B17" s="23" t="s">
        <v>181</v>
      </c>
      <c r="C17" s="16" t="s">
        <v>72</v>
      </c>
      <c r="E17" s="40">
        <f>IF(Equity_In&gt;0,(Equity_Exit/Equity_In)^(1/Holding_N)-1,"n/a")</f>
      </c>
    </row>
    <row r="19" ht="18" customHeight="1" spans="2:6" x14ac:dyDescent="0.25">
      <c r="B19" s="5" t="s">
        <v>182</v>
      </c>
      <c r="C19" s="6"/>
      <c r="D19" s="6"/>
      <c r="E19" s="6"/>
      <c r="F19" s="6"/>
    </row>
    <row r="20" spans="2:5" x14ac:dyDescent="0.25">
      <c r="B20" s="1" t="s">
        <v>183</v>
      </c>
      <c r="C20" s="16" t="s">
        <v>72</v>
      </c>
      <c r="E20" s="35">
        <f>Target_IRR</f>
      </c>
    </row>
    <row r="21" spans="2:5" x14ac:dyDescent="0.25">
      <c r="B21" s="1" t="s">
        <v>184</v>
      </c>
      <c r="C21" s="16" t="s">
        <v>65</v>
      </c>
      <c r="E21" s="26">
        <f>IF(Equity_Exit&gt;0,Equity_Exit/(1+Target_IRR)^Holding_N,"n/a")</f>
      </c>
    </row>
    <row r="22" spans="2:5" x14ac:dyDescent="0.25">
      <c r="B22" s="1" t="s">
        <v>185</v>
      </c>
      <c r="C22" s="16" t="s">
        <v>65</v>
      </c>
      <c r="E22" s="26">
        <f>IF(ISNUMBER(Max_Equity),IF(Max_Equity+Senior_0+Junior_0-Financing_Costs-Cash_0&gt;0,(Max_Equity+Senior_0+Junior_0-Financing_Costs-Cash_0)/(1+Fee_Transaction),"n/a"),"n/a")</f>
      </c>
    </row>
    <row r="23" spans="2:5" x14ac:dyDescent="0.25">
      <c r="B23" s="23" t="s">
        <v>186</v>
      </c>
      <c r="C23" s="16" t="s">
        <v>63</v>
      </c>
      <c r="E23" s="41">
        <f>IF(ISNUMBER(Max_EV),Max_EV/EBITDA_0,"n/a")</f>
      </c>
    </row>
    <row r="25" ht="18" customHeight="1" spans="2:6" x14ac:dyDescent="0.25">
      <c r="B25" s="5" t="s">
        <v>187</v>
      </c>
      <c r="C25" s="6"/>
      <c r="D25" s="6"/>
      <c r="E25" s="6"/>
      <c r="F25" s="6"/>
    </row>
    <row r="26" spans="2:5" x14ac:dyDescent="0.25">
      <c r="B26" s="1" t="s">
        <v>78</v>
      </c>
      <c r="C26" s="16" t="s">
        <v>65</v>
      </c>
      <c r="E26" s="26">
        <f>Entry_Multiple_Used*(EBITDA_Exit-EBITDA_0)</f>
      </c>
    </row>
    <row r="27" spans="2:5" x14ac:dyDescent="0.25">
      <c r="B27" s="1" t="s">
        <v>188</v>
      </c>
      <c r="C27" s="16" t="s">
        <v>65</v>
      </c>
      <c r="E27" s="26">
        <f>(Exit_Multiple_Used-Entry_Multiple_Used)*EBITDA_Exit</f>
      </c>
    </row>
    <row r="28" spans="2:5" x14ac:dyDescent="0.25">
      <c r="B28" s="1" t="s">
        <v>189</v>
      </c>
      <c r="C28" s="16" t="s">
        <v>65</v>
      </c>
      <c r="E28" s="26">
        <f>Senior_0+Junior_0-Cash_0-Net_Debt_Exit</f>
      </c>
    </row>
    <row r="29" spans="2:5" x14ac:dyDescent="0.25">
      <c r="B29" s="1" t="s">
        <v>190</v>
      </c>
      <c r="C29" s="16" t="s">
        <v>65</v>
      </c>
      <c r="E29" s="26">
        <f>-(Fee_Transaction*Purchase_EV+Financing_Costs+Exit_Cost*Exit_EV)</f>
      </c>
    </row>
    <row r="30" spans="2:5" x14ac:dyDescent="0.25">
      <c r="B30" s="1" t="s">
        <v>191</v>
      </c>
      <c r="C30" s="16" t="s">
        <v>65</v>
      </c>
      <c r="E30" s="26">
        <f>Equity_Exit-Equity_Exit_Raw</f>
      </c>
    </row>
    <row r="31" spans="2:5" x14ac:dyDescent="0.25">
      <c r="B31" s="23" t="s">
        <v>192</v>
      </c>
      <c r="C31" s="16" t="s">
        <v>65</v>
      </c>
      <c r="E31" s="33">
        <f>SUM(E26:E30)</f>
      </c>
    </row>
    <row r="32" spans="2:5" x14ac:dyDescent="0.25">
      <c r="B32" s="1" t="s">
        <v>193</v>
      </c>
      <c r="C32" s="16" t="s">
        <v>65</v>
      </c>
      <c r="E32" s="26">
        <f>Equity_Exit-Equity_In</f>
      </c>
    </row>
    <row r="34" ht="18" customHeight="1" spans="2:6" x14ac:dyDescent="0.25">
      <c r="B34" s="5" t="s">
        <v>194</v>
      </c>
      <c r="C34" s="6"/>
      <c r="D34" s="6"/>
      <c r="E34" s="6"/>
      <c r="F34" s="6"/>
    </row>
    <row r="35" spans="2:5" x14ac:dyDescent="0.25">
      <c r="B35" s="1" t="s">
        <v>195</v>
      </c>
      <c r="C35" s="16" t="s">
        <v>129</v>
      </c>
      <c r="E35" s="42">
        <f>IF(Target_Shares&gt;0,(Purchase_EV-Target_Net_Debt-Target_Other)/Target_Shares,"n/a")</f>
      </c>
    </row>
    <row r="36" spans="2:5" x14ac:dyDescent="0.25">
      <c r="B36" s="1" t="s">
        <v>196</v>
      </c>
      <c r="C36" s="16" t="s">
        <v>87</v>
      </c>
      <c r="E36" s="31">
        <f>IF(AND(ISNUMBER(Price_Per_Share),Target_VWAP&gt;0),Price_Per_Share/Target_VWAP-1,"n/a")</f>
      </c>
    </row>
    <row r="37" spans="2:5" x14ac:dyDescent="0.25">
      <c r="B37" s="1" t="s">
        <v>197</v>
      </c>
      <c r="C37" s="16" t="s">
        <v>129</v>
      </c>
      <c r="E37" s="42">
        <f>IF(AND(Target_Shares&gt;0,ISNUMBER(Max_EV)),(Max_EV-Target_Net_Debt-Target_Other)/Target_Shares,"n/a")</f>
      </c>
    </row>
    <row r="38" spans="2:5" x14ac:dyDescent="0.25">
      <c r="B38" s="1" t="s">
        <v>198</v>
      </c>
      <c r="C38" s="16" t="s">
        <v>87</v>
      </c>
      <c r="E38" s="31">
        <f>IF(AND(ISNUMBER(Max_Price_Per_Share),Target_VWAP&gt;0),Max_Price_Per_Share/Target_VWAP-1,"n/a")</f>
      </c>
    </row>
    <row r="40" ht="18" customHeight="1" spans="2:12" x14ac:dyDescent="0.25">
      <c r="B40" s="5" t="s">
        <v>15</v>
      </c>
      <c r="C40" s="6"/>
      <c r="D40" s="6"/>
      <c r="E40" s="6"/>
      <c r="F40" s="6"/>
      <c r="G40" s="6"/>
      <c r="H40" s="6"/>
      <c r="I40" s="6"/>
      <c r="J40" s="6"/>
      <c r="K40" s="6"/>
      <c r="L40" s="6"/>
    </row>
    <row r="41" spans="2:2" x14ac:dyDescent="0.25">
      <c r="B41" s="43">
        <f>IF(AND(Inputs_Complete=1,ISNUMBER(IRR)),"At an entry price of "&amp;FIXED(Entry_Multiple_Used,1)&amp;"x EBITDA the investor earns an IRR of "&amp;FIXED(IRR*100,1)&amp;"% p.a. ("&amp;FIXED(MOIC,2)&amp;"x the equity) based on your assumptions. "&amp;IF(ISNUMBER(Max_Multiple),"To reach "&amp;FIXED(Target_IRR*100,1)&amp;"% p.a., the maximum price is "&amp;FIXED(Max_Multiple,1)&amp;"x EBITDA.","No price reaches the target IRR of "&amp;FIXED(Target_IRR*100,1)&amp;"% p.a."),"Fill in the blue cells on Inputs.")</f>
      </c>
    </row>
    <row r="44" ht="18" customHeight="1" spans="2:12" x14ac:dyDescent="0.25">
      <c r="B44" s="5" t="s">
        <v>199</v>
      </c>
      <c r="C44" s="6"/>
      <c r="D44" s="6"/>
      <c r="E44" s="6"/>
      <c r="F44" s="6"/>
      <c r="G44" s="6"/>
      <c r="H44" s="6"/>
      <c r="I44" s="6"/>
      <c r="J44" s="6"/>
      <c r="K44" s="6"/>
      <c r="L44" s="6"/>
    </row>
    <row r="45" spans="2:12" x14ac:dyDescent="0.25">
      <c r="B45" s="1" t="s">
        <v>92</v>
      </c>
      <c r="E45" s="24">
        <f>0</f>
      </c>
      <c r="F45" s="24">
        <f>E45+1</f>
      </c>
      <c r="G45" s="24">
        <f>F45+1</f>
      </c>
      <c r="H45" s="24">
        <f>G45+1</f>
      </c>
      <c r="I45" s="24">
        <f>H45+1</f>
      </c>
      <c r="J45" s="24">
        <f>I45+1</f>
      </c>
      <c r="K45" s="24">
        <f>J45+1</f>
      </c>
      <c r="L45" s="24">
        <f>K45+1</f>
      </c>
    </row>
    <row r="46" spans="2:12" x14ac:dyDescent="0.25">
      <c r="B46" s="1" t="s">
        <v>200</v>
      </c>
      <c r="C46" s="16" t="s">
        <v>65</v>
      </c>
      <c r="E46" s="26">
        <f>-Equity_In</f>
      </c>
      <c r="F46" s="26">
        <f>IF(F45=Holding_N,Equity_Exit,0)</f>
      </c>
      <c r="G46" s="26">
        <f>IF(G45=Holding_N,Equity_Exit,0)</f>
      </c>
      <c r="H46" s="26">
        <f>IF(H45=Holding_N,Equity_Exit,0)</f>
      </c>
      <c r="I46" s="26">
        <f>IF(I45=Holding_N,Equity_Exit,0)</f>
      </c>
      <c r="J46" s="26">
        <f>IF(J45=Holding_N,Equity_Exit,0)</f>
      </c>
      <c r="K46" s="26">
        <f>IF(K45=Holding_N,Equity_Exit,0)</f>
      </c>
      <c r="L46" s="26">
        <f>IF(L45=Holding_N,Equity_Exit,0)</f>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106"/>
  <sheetViews>
    <sheetView workbookViewId="0" showGridLines="0" zoomScale="100">
      <pane ySplit="2" topLeftCell="A3" activePane="bottomLeft" state="frozen"/>
      <selection pane="bottomLeft"/>
    </sheetView>
  </sheetViews>
  <sheetFormatPr defaultRowHeight="15" outlineLevelRow="1" outlineLevelCol="0" x14ac:dyDescent="55"/>
  <cols>
    <col min="1" max="1" width="2" style="1" customWidth="1"/>
    <col min="2" max="2" width="44" style="1" customWidth="1"/>
    <col min="3" max="3" width="10" style="1" customWidth="1"/>
    <col min="4" max="4" width="12" style="1" customWidth="1"/>
    <col min="5" max="12" width="11" style="1" customWidth="1"/>
  </cols>
  <sheetData>
    <row r="1" ht="21" customHeight="1" spans="2:12" x14ac:dyDescent="0.25">
      <c r="B1" s="2" t="s">
        <v>32</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ht="18" customHeight="1" spans="2:9" x14ac:dyDescent="0.25">
      <c r="B4" s="5" t="s">
        <v>201</v>
      </c>
      <c r="C4" s="6"/>
      <c r="D4" s="6"/>
      <c r="E4" s="6"/>
      <c r="F4" s="6"/>
      <c r="G4" s="6"/>
      <c r="H4" s="6"/>
      <c r="I4" s="6"/>
    </row>
    <row r="6" spans="4:9" x14ac:dyDescent="0.25">
      <c r="D6" s="44" t="s">
        <v>202</v>
      </c>
      <c r="E6" s="27">
        <f>F6-Step_Multiple</f>
      </c>
      <c r="F6" s="27">
        <f>G6-Step_Multiple</f>
      </c>
      <c r="G6" s="38">
        <f>Exit_Multiple_Used</f>
      </c>
      <c r="H6" s="27">
        <f>G6+Step_Multiple</f>
      </c>
      <c r="I6" s="27">
        <f>H6+Step_Multiple</f>
      </c>
    </row>
    <row r="7" spans="2:9" x14ac:dyDescent="0.25">
      <c r="B7" s="45" t="s">
        <v>203</v>
      </c>
      <c r="D7" s="27">
        <f>D8-Step_Multiple</f>
      </c>
      <c r="E7" s="31">
        <f>IF($D7*EBITDA_0*(1+Fee_Transaction)+Financing_Costs+Cash_0-Senior_0-Junior_0&gt;0,(MAX(0,E$6*EBITDA_Exit*(1-Exit_Cost)-Net_Debt_Exit)/($D7*EBITDA_0*(1+Fee_Transaction)+Financing_Costs+Cash_0-Senior_0-Junior_0))^(1/Holding_N)-1,"n/a")</f>
      </c>
      <c r="F7" s="31">
        <f>IF($D7*EBITDA_0*(1+Fee_Transaction)+Financing_Costs+Cash_0-Senior_0-Junior_0&gt;0,(MAX(0,F$6*EBITDA_Exit*(1-Exit_Cost)-Net_Debt_Exit)/($D7*EBITDA_0*(1+Fee_Transaction)+Financing_Costs+Cash_0-Senior_0-Junior_0))^(1/Holding_N)-1,"n/a")</f>
      </c>
      <c r="G7" s="31">
        <f>IF($D7*EBITDA_0*(1+Fee_Transaction)+Financing_Costs+Cash_0-Senior_0-Junior_0&gt;0,(MAX(0,G$6*EBITDA_Exit*(1-Exit_Cost)-Net_Debt_Exit)/($D7*EBITDA_0*(1+Fee_Transaction)+Financing_Costs+Cash_0-Senior_0-Junior_0))^(1/Holding_N)-1,"n/a")</f>
      </c>
      <c r="H7" s="31">
        <f>IF($D7*EBITDA_0*(1+Fee_Transaction)+Financing_Costs+Cash_0-Senior_0-Junior_0&gt;0,(MAX(0,H$6*EBITDA_Exit*(1-Exit_Cost)-Net_Debt_Exit)/($D7*EBITDA_0*(1+Fee_Transaction)+Financing_Costs+Cash_0-Senior_0-Junior_0))^(1/Holding_N)-1,"n/a")</f>
      </c>
      <c r="I7" s="31">
        <f>IF($D7*EBITDA_0*(1+Fee_Transaction)+Financing_Costs+Cash_0-Senior_0-Junior_0&gt;0,(MAX(0,I$6*EBITDA_Exit*(1-Exit_Cost)-Net_Debt_Exit)/($D7*EBITDA_0*(1+Fee_Transaction)+Financing_Costs+Cash_0-Senior_0-Junior_0))^(1/Holding_N)-1,"n/a")</f>
      </c>
    </row>
    <row r="8" spans="2:9" x14ac:dyDescent="0.25">
      <c r="B8" s="45"/>
      <c r="D8" s="27">
        <f>D9-Step_Multiple</f>
      </c>
      <c r="E8" s="31">
        <f>IF($D8*EBITDA_0*(1+Fee_Transaction)+Financing_Costs+Cash_0-Senior_0-Junior_0&gt;0,(MAX(0,E$6*EBITDA_Exit*(1-Exit_Cost)-Net_Debt_Exit)/($D8*EBITDA_0*(1+Fee_Transaction)+Financing_Costs+Cash_0-Senior_0-Junior_0))^(1/Holding_N)-1,"n/a")</f>
      </c>
      <c r="F8" s="31">
        <f>IF($D8*EBITDA_0*(1+Fee_Transaction)+Financing_Costs+Cash_0-Senior_0-Junior_0&gt;0,(MAX(0,F$6*EBITDA_Exit*(1-Exit_Cost)-Net_Debt_Exit)/($D8*EBITDA_0*(1+Fee_Transaction)+Financing_Costs+Cash_0-Senior_0-Junior_0))^(1/Holding_N)-1,"n/a")</f>
      </c>
      <c r="G8" s="31">
        <f>IF($D8*EBITDA_0*(1+Fee_Transaction)+Financing_Costs+Cash_0-Senior_0-Junior_0&gt;0,(MAX(0,G$6*EBITDA_Exit*(1-Exit_Cost)-Net_Debt_Exit)/($D8*EBITDA_0*(1+Fee_Transaction)+Financing_Costs+Cash_0-Senior_0-Junior_0))^(1/Holding_N)-1,"n/a")</f>
      </c>
      <c r="H8" s="31">
        <f>IF($D8*EBITDA_0*(1+Fee_Transaction)+Financing_Costs+Cash_0-Senior_0-Junior_0&gt;0,(MAX(0,H$6*EBITDA_Exit*(1-Exit_Cost)-Net_Debt_Exit)/($D8*EBITDA_0*(1+Fee_Transaction)+Financing_Costs+Cash_0-Senior_0-Junior_0))^(1/Holding_N)-1,"n/a")</f>
      </c>
      <c r="I8" s="31">
        <f>IF($D8*EBITDA_0*(1+Fee_Transaction)+Financing_Costs+Cash_0-Senior_0-Junior_0&gt;0,(MAX(0,I$6*EBITDA_Exit*(1-Exit_Cost)-Net_Debt_Exit)/($D8*EBITDA_0*(1+Fee_Transaction)+Financing_Costs+Cash_0-Senior_0-Junior_0))^(1/Holding_N)-1,"n/a")</f>
      </c>
    </row>
    <row r="9" spans="2:9" x14ac:dyDescent="0.25">
      <c r="B9" s="45"/>
      <c r="D9" s="38">
        <f>Entry_Multiple_Used</f>
      </c>
      <c r="E9" s="31">
        <f>IF($D9*EBITDA_0*(1+Fee_Transaction)+Financing_Costs+Cash_0-Senior_0-Junior_0&gt;0,(MAX(0,E$6*EBITDA_Exit*(1-Exit_Cost)-Net_Debt_Exit)/($D9*EBITDA_0*(1+Fee_Transaction)+Financing_Costs+Cash_0-Senior_0-Junior_0))^(1/Holding_N)-1,"n/a")</f>
      </c>
      <c r="F9" s="31">
        <f>IF($D9*EBITDA_0*(1+Fee_Transaction)+Financing_Costs+Cash_0-Senior_0-Junior_0&gt;0,(MAX(0,F$6*EBITDA_Exit*(1-Exit_Cost)-Net_Debt_Exit)/($D9*EBITDA_0*(1+Fee_Transaction)+Financing_Costs+Cash_0-Senior_0-Junior_0))^(1/Holding_N)-1,"n/a")</f>
      </c>
      <c r="G9" s="46">
        <f>IF($D9*EBITDA_0*(1+Fee_Transaction)+Financing_Costs+Cash_0-Senior_0-Junior_0&gt;0,(MAX(0,G$6*EBITDA_Exit*(1-Exit_Cost)-Net_Debt_Exit)/($D9*EBITDA_0*(1+Fee_Transaction)+Financing_Costs+Cash_0-Senior_0-Junior_0))^(1/Holding_N)-1,"n/a")</f>
      </c>
      <c r="H9" s="31">
        <f>IF($D9*EBITDA_0*(1+Fee_Transaction)+Financing_Costs+Cash_0-Senior_0-Junior_0&gt;0,(MAX(0,H$6*EBITDA_Exit*(1-Exit_Cost)-Net_Debt_Exit)/($D9*EBITDA_0*(1+Fee_Transaction)+Financing_Costs+Cash_0-Senior_0-Junior_0))^(1/Holding_N)-1,"n/a")</f>
      </c>
      <c r="I9" s="31">
        <f>IF($D9*EBITDA_0*(1+Fee_Transaction)+Financing_Costs+Cash_0-Senior_0-Junior_0&gt;0,(MAX(0,I$6*EBITDA_Exit*(1-Exit_Cost)-Net_Debt_Exit)/($D9*EBITDA_0*(1+Fee_Transaction)+Financing_Costs+Cash_0-Senior_0-Junior_0))^(1/Holding_N)-1,"n/a")</f>
      </c>
    </row>
    <row r="10" spans="2:9" x14ac:dyDescent="0.25">
      <c r="B10" s="45"/>
      <c r="D10" s="27">
        <f>D9+Step_Multiple</f>
      </c>
      <c r="E10" s="31">
        <f>IF($D10*EBITDA_0*(1+Fee_Transaction)+Financing_Costs+Cash_0-Senior_0-Junior_0&gt;0,(MAX(0,E$6*EBITDA_Exit*(1-Exit_Cost)-Net_Debt_Exit)/($D10*EBITDA_0*(1+Fee_Transaction)+Financing_Costs+Cash_0-Senior_0-Junior_0))^(1/Holding_N)-1,"n/a")</f>
      </c>
      <c r="F10" s="31">
        <f>IF($D10*EBITDA_0*(1+Fee_Transaction)+Financing_Costs+Cash_0-Senior_0-Junior_0&gt;0,(MAX(0,F$6*EBITDA_Exit*(1-Exit_Cost)-Net_Debt_Exit)/($D10*EBITDA_0*(1+Fee_Transaction)+Financing_Costs+Cash_0-Senior_0-Junior_0))^(1/Holding_N)-1,"n/a")</f>
      </c>
      <c r="G10" s="31">
        <f>IF($D10*EBITDA_0*(1+Fee_Transaction)+Financing_Costs+Cash_0-Senior_0-Junior_0&gt;0,(MAX(0,G$6*EBITDA_Exit*(1-Exit_Cost)-Net_Debt_Exit)/($D10*EBITDA_0*(1+Fee_Transaction)+Financing_Costs+Cash_0-Senior_0-Junior_0))^(1/Holding_N)-1,"n/a")</f>
      </c>
      <c r="H10" s="31">
        <f>IF($D10*EBITDA_0*(1+Fee_Transaction)+Financing_Costs+Cash_0-Senior_0-Junior_0&gt;0,(MAX(0,H$6*EBITDA_Exit*(1-Exit_Cost)-Net_Debt_Exit)/($D10*EBITDA_0*(1+Fee_Transaction)+Financing_Costs+Cash_0-Senior_0-Junior_0))^(1/Holding_N)-1,"n/a")</f>
      </c>
      <c r="I10" s="31">
        <f>IF($D10*EBITDA_0*(1+Fee_Transaction)+Financing_Costs+Cash_0-Senior_0-Junior_0&gt;0,(MAX(0,I$6*EBITDA_Exit*(1-Exit_Cost)-Net_Debt_Exit)/($D10*EBITDA_0*(1+Fee_Transaction)+Financing_Costs+Cash_0-Senior_0-Junior_0))^(1/Holding_N)-1,"n/a")</f>
      </c>
    </row>
    <row r="11" spans="4:9" x14ac:dyDescent="0.25">
      <c r="D11" s="27">
        <f>D10+Step_Multiple</f>
      </c>
      <c r="E11" s="31">
        <f>IF($D11*EBITDA_0*(1+Fee_Transaction)+Financing_Costs+Cash_0-Senior_0-Junior_0&gt;0,(MAX(0,E$6*EBITDA_Exit*(1-Exit_Cost)-Net_Debt_Exit)/($D11*EBITDA_0*(1+Fee_Transaction)+Financing_Costs+Cash_0-Senior_0-Junior_0))^(1/Holding_N)-1,"n/a")</f>
      </c>
      <c r="F11" s="31">
        <f>IF($D11*EBITDA_0*(1+Fee_Transaction)+Financing_Costs+Cash_0-Senior_0-Junior_0&gt;0,(MAX(0,F$6*EBITDA_Exit*(1-Exit_Cost)-Net_Debt_Exit)/($D11*EBITDA_0*(1+Fee_Transaction)+Financing_Costs+Cash_0-Senior_0-Junior_0))^(1/Holding_N)-1,"n/a")</f>
      </c>
      <c r="G11" s="31">
        <f>IF($D11*EBITDA_0*(1+Fee_Transaction)+Financing_Costs+Cash_0-Senior_0-Junior_0&gt;0,(MAX(0,G$6*EBITDA_Exit*(1-Exit_Cost)-Net_Debt_Exit)/($D11*EBITDA_0*(1+Fee_Transaction)+Financing_Costs+Cash_0-Senior_0-Junior_0))^(1/Holding_N)-1,"n/a")</f>
      </c>
      <c r="H11" s="31">
        <f>IF($D11*EBITDA_0*(1+Fee_Transaction)+Financing_Costs+Cash_0-Senior_0-Junior_0&gt;0,(MAX(0,H$6*EBITDA_Exit*(1-Exit_Cost)-Net_Debt_Exit)/($D11*EBITDA_0*(1+Fee_Transaction)+Financing_Costs+Cash_0-Senior_0-Junior_0))^(1/Holding_N)-1,"n/a")</f>
      </c>
      <c r="I11" s="31">
        <f>IF($D11*EBITDA_0*(1+Fee_Transaction)+Financing_Costs+Cash_0-Senior_0-Junior_0&gt;0,(MAX(0,I$6*EBITDA_Exit*(1-Exit_Cost)-Net_Debt_Exit)/($D11*EBITDA_0*(1+Fee_Transaction)+Financing_Costs+Cash_0-Senior_0-Junior_0))^(1/Holding_N)-1,"n/a")</f>
      </c>
    </row>
    <row r="14" ht="18" customHeight="1" spans="2:9" x14ac:dyDescent="0.25">
      <c r="B14" s="5" t="s">
        <v>204</v>
      </c>
      <c r="C14" s="6"/>
      <c r="D14" s="6"/>
      <c r="E14" s="6"/>
      <c r="F14" s="6"/>
      <c r="G14" s="6"/>
      <c r="H14" s="6"/>
      <c r="I14" s="6"/>
    </row>
    <row r="15" spans="4:9" x14ac:dyDescent="0.25">
      <c r="D15" s="44" t="s">
        <v>205</v>
      </c>
      <c r="E15" s="27">
        <f>MAX(0,Senior_Multiple-Step_Leverage-Step_Leverage)</f>
      </c>
      <c r="F15" s="27">
        <f>MAX(0,Senior_Multiple-Step_Leverage)</f>
      </c>
      <c r="G15" s="38">
        <f>Senior_Multiple</f>
      </c>
      <c r="H15" s="27">
        <f>Senior_Multiple+Step_Leverage</f>
      </c>
      <c r="I15" s="27">
        <f>Senior_Multiple+Step_Leverage+Step_Leverage</f>
      </c>
    </row>
    <row r="16" spans="2:9" x14ac:dyDescent="0.25">
      <c r="B16" s="45" t="s">
        <v>206</v>
      </c>
      <c r="D16" s="27">
        <f>D7</f>
      </c>
      <c r="E16" s="31">
        <f>IF($D16*EBITDA_0*(1+Fee_Transaction)+E$23+Cash_0-E$22-Junior_0&gt;0,(MAX(0,Exit_Multiple_Used*EBITDA_Exit*(1-Exit_Cost)-E$24)/($D16*EBITDA_0*(1+Fee_Transaction)+E$23+Cash_0-E$22-Junior_0))^(1/Holding_N)-1,"n/a")</f>
      </c>
      <c r="F16" s="31">
        <f>IF($D16*EBITDA_0*(1+Fee_Transaction)+F$23+Cash_0-F$22-Junior_0&gt;0,(MAX(0,Exit_Multiple_Used*EBITDA_Exit*(1-Exit_Cost)-F$24)/($D16*EBITDA_0*(1+Fee_Transaction)+F$23+Cash_0-F$22-Junior_0))^(1/Holding_N)-1,"n/a")</f>
      </c>
      <c r="G16" s="31">
        <f>IF($D16*EBITDA_0*(1+Fee_Transaction)+G$23+Cash_0-G$22-Junior_0&gt;0,(MAX(0,Exit_Multiple_Used*EBITDA_Exit*(1-Exit_Cost)-G$24)/($D16*EBITDA_0*(1+Fee_Transaction)+G$23+Cash_0-G$22-Junior_0))^(1/Holding_N)-1,"n/a")</f>
      </c>
      <c r="H16" s="31">
        <f>IF($D16*EBITDA_0*(1+Fee_Transaction)+H$23+Cash_0-H$22-Junior_0&gt;0,(MAX(0,Exit_Multiple_Used*EBITDA_Exit*(1-Exit_Cost)-H$24)/($D16*EBITDA_0*(1+Fee_Transaction)+H$23+Cash_0-H$22-Junior_0))^(1/Holding_N)-1,"n/a")</f>
      </c>
      <c r="I16" s="31">
        <f>IF($D16*EBITDA_0*(1+Fee_Transaction)+I$23+Cash_0-I$22-Junior_0&gt;0,(MAX(0,Exit_Multiple_Used*EBITDA_Exit*(1-Exit_Cost)-I$24)/($D16*EBITDA_0*(1+Fee_Transaction)+I$23+Cash_0-I$22-Junior_0))^(1/Holding_N)-1,"n/a")</f>
      </c>
    </row>
    <row r="17" spans="2:9" x14ac:dyDescent="0.25">
      <c r="B17" s="45"/>
      <c r="D17" s="27">
        <f>D8</f>
      </c>
      <c r="E17" s="31">
        <f>IF($D17*EBITDA_0*(1+Fee_Transaction)+E$23+Cash_0-E$22-Junior_0&gt;0,(MAX(0,Exit_Multiple_Used*EBITDA_Exit*(1-Exit_Cost)-E$24)/($D17*EBITDA_0*(1+Fee_Transaction)+E$23+Cash_0-E$22-Junior_0))^(1/Holding_N)-1,"n/a")</f>
      </c>
      <c r="F17" s="31">
        <f>IF($D17*EBITDA_0*(1+Fee_Transaction)+F$23+Cash_0-F$22-Junior_0&gt;0,(MAX(0,Exit_Multiple_Used*EBITDA_Exit*(1-Exit_Cost)-F$24)/($D17*EBITDA_0*(1+Fee_Transaction)+F$23+Cash_0-F$22-Junior_0))^(1/Holding_N)-1,"n/a")</f>
      </c>
      <c r="G17" s="31">
        <f>IF($D17*EBITDA_0*(1+Fee_Transaction)+G$23+Cash_0-G$22-Junior_0&gt;0,(MAX(0,Exit_Multiple_Used*EBITDA_Exit*(1-Exit_Cost)-G$24)/($D17*EBITDA_0*(1+Fee_Transaction)+G$23+Cash_0-G$22-Junior_0))^(1/Holding_N)-1,"n/a")</f>
      </c>
      <c r="H17" s="31">
        <f>IF($D17*EBITDA_0*(1+Fee_Transaction)+H$23+Cash_0-H$22-Junior_0&gt;0,(MAX(0,Exit_Multiple_Used*EBITDA_Exit*(1-Exit_Cost)-H$24)/($D17*EBITDA_0*(1+Fee_Transaction)+H$23+Cash_0-H$22-Junior_0))^(1/Holding_N)-1,"n/a")</f>
      </c>
      <c r="I17" s="31">
        <f>IF($D17*EBITDA_0*(1+Fee_Transaction)+I$23+Cash_0-I$22-Junior_0&gt;0,(MAX(0,Exit_Multiple_Used*EBITDA_Exit*(1-Exit_Cost)-I$24)/($D17*EBITDA_0*(1+Fee_Transaction)+I$23+Cash_0-I$22-Junior_0))^(1/Holding_N)-1,"n/a")</f>
      </c>
    </row>
    <row r="18" spans="2:9" x14ac:dyDescent="0.25">
      <c r="B18" s="45"/>
      <c r="D18" s="27">
        <f>D9</f>
      </c>
      <c r="E18" s="31">
        <f>IF($D18*EBITDA_0*(1+Fee_Transaction)+E$23+Cash_0-E$22-Junior_0&gt;0,(MAX(0,Exit_Multiple_Used*EBITDA_Exit*(1-Exit_Cost)-E$24)/($D18*EBITDA_0*(1+Fee_Transaction)+E$23+Cash_0-E$22-Junior_0))^(1/Holding_N)-1,"n/a")</f>
      </c>
      <c r="F18" s="31">
        <f>IF($D18*EBITDA_0*(1+Fee_Transaction)+F$23+Cash_0-F$22-Junior_0&gt;0,(MAX(0,Exit_Multiple_Used*EBITDA_Exit*(1-Exit_Cost)-F$24)/($D18*EBITDA_0*(1+Fee_Transaction)+F$23+Cash_0-F$22-Junior_0))^(1/Holding_N)-1,"n/a")</f>
      </c>
      <c r="G18" s="46">
        <f>IF($D18*EBITDA_0*(1+Fee_Transaction)+G$23+Cash_0-G$22-Junior_0&gt;0,(MAX(0,Exit_Multiple_Used*EBITDA_Exit*(1-Exit_Cost)-G$24)/($D18*EBITDA_0*(1+Fee_Transaction)+G$23+Cash_0-G$22-Junior_0))^(1/Holding_N)-1,"n/a")</f>
      </c>
      <c r="H18" s="31">
        <f>IF($D18*EBITDA_0*(1+Fee_Transaction)+H$23+Cash_0-H$22-Junior_0&gt;0,(MAX(0,Exit_Multiple_Used*EBITDA_Exit*(1-Exit_Cost)-H$24)/($D18*EBITDA_0*(1+Fee_Transaction)+H$23+Cash_0-H$22-Junior_0))^(1/Holding_N)-1,"n/a")</f>
      </c>
      <c r="I18" s="31">
        <f>IF($D18*EBITDA_0*(1+Fee_Transaction)+I$23+Cash_0-I$22-Junior_0&gt;0,(MAX(0,Exit_Multiple_Used*EBITDA_Exit*(1-Exit_Cost)-I$24)/($D18*EBITDA_0*(1+Fee_Transaction)+I$23+Cash_0-I$22-Junior_0))^(1/Holding_N)-1,"n/a")</f>
      </c>
    </row>
    <row r="19" spans="2:9" x14ac:dyDescent="0.25">
      <c r="B19" s="45"/>
      <c r="D19" s="27">
        <f>D10</f>
      </c>
      <c r="E19" s="31">
        <f>IF($D19*EBITDA_0*(1+Fee_Transaction)+E$23+Cash_0-E$22-Junior_0&gt;0,(MAX(0,Exit_Multiple_Used*EBITDA_Exit*(1-Exit_Cost)-E$24)/($D19*EBITDA_0*(1+Fee_Transaction)+E$23+Cash_0-E$22-Junior_0))^(1/Holding_N)-1,"n/a")</f>
      </c>
      <c r="F19" s="31">
        <f>IF($D19*EBITDA_0*(1+Fee_Transaction)+F$23+Cash_0-F$22-Junior_0&gt;0,(MAX(0,Exit_Multiple_Used*EBITDA_Exit*(1-Exit_Cost)-F$24)/($D19*EBITDA_0*(1+Fee_Transaction)+F$23+Cash_0-F$22-Junior_0))^(1/Holding_N)-1,"n/a")</f>
      </c>
      <c r="G19" s="31">
        <f>IF($D19*EBITDA_0*(1+Fee_Transaction)+G$23+Cash_0-G$22-Junior_0&gt;0,(MAX(0,Exit_Multiple_Used*EBITDA_Exit*(1-Exit_Cost)-G$24)/($D19*EBITDA_0*(1+Fee_Transaction)+G$23+Cash_0-G$22-Junior_0))^(1/Holding_N)-1,"n/a")</f>
      </c>
      <c r="H19" s="31">
        <f>IF($D19*EBITDA_0*(1+Fee_Transaction)+H$23+Cash_0-H$22-Junior_0&gt;0,(MAX(0,Exit_Multiple_Used*EBITDA_Exit*(1-Exit_Cost)-H$24)/($D19*EBITDA_0*(1+Fee_Transaction)+H$23+Cash_0-H$22-Junior_0))^(1/Holding_N)-1,"n/a")</f>
      </c>
      <c r="I19" s="31">
        <f>IF($D19*EBITDA_0*(1+Fee_Transaction)+I$23+Cash_0-I$22-Junior_0&gt;0,(MAX(0,Exit_Multiple_Used*EBITDA_Exit*(1-Exit_Cost)-I$24)/($D19*EBITDA_0*(1+Fee_Transaction)+I$23+Cash_0-I$22-Junior_0))^(1/Holding_N)-1,"n/a")</f>
      </c>
    </row>
    <row r="20" spans="2:9" x14ac:dyDescent="0.25">
      <c r="B20" s="45"/>
      <c r="D20" s="27">
        <f>D11</f>
      </c>
      <c r="E20" s="31">
        <f>IF($D20*EBITDA_0*(1+Fee_Transaction)+E$23+Cash_0-E$22-Junior_0&gt;0,(MAX(0,Exit_Multiple_Used*EBITDA_Exit*(1-Exit_Cost)-E$24)/($D20*EBITDA_0*(1+Fee_Transaction)+E$23+Cash_0-E$22-Junior_0))^(1/Holding_N)-1,"n/a")</f>
      </c>
      <c r="F20" s="31">
        <f>IF($D20*EBITDA_0*(1+Fee_Transaction)+F$23+Cash_0-F$22-Junior_0&gt;0,(MAX(0,Exit_Multiple_Used*EBITDA_Exit*(1-Exit_Cost)-F$24)/($D20*EBITDA_0*(1+Fee_Transaction)+F$23+Cash_0-F$22-Junior_0))^(1/Holding_N)-1,"n/a")</f>
      </c>
      <c r="G20" s="31">
        <f>IF($D20*EBITDA_0*(1+Fee_Transaction)+G$23+Cash_0-G$22-Junior_0&gt;0,(MAX(0,Exit_Multiple_Used*EBITDA_Exit*(1-Exit_Cost)-G$24)/($D20*EBITDA_0*(1+Fee_Transaction)+G$23+Cash_0-G$22-Junior_0))^(1/Holding_N)-1,"n/a")</f>
      </c>
      <c r="H20" s="31">
        <f>IF($D20*EBITDA_0*(1+Fee_Transaction)+H$23+Cash_0-H$22-Junior_0&gt;0,(MAX(0,Exit_Multiple_Used*EBITDA_Exit*(1-Exit_Cost)-H$24)/($D20*EBITDA_0*(1+Fee_Transaction)+H$23+Cash_0-H$22-Junior_0))^(1/Holding_N)-1,"n/a")</f>
      </c>
      <c r="I20" s="31">
        <f>IF($D20*EBITDA_0*(1+Fee_Transaction)+I$23+Cash_0-I$22-Junior_0&gt;0,(MAX(0,Exit_Multiple_Used*EBITDA_Exit*(1-Exit_Cost)-I$24)/($D20*EBITDA_0*(1+Fee_Transaction)+I$23+Cash_0-I$22-Junior_0))^(1/Holding_N)-1,"n/a")</f>
      </c>
    </row>
    <row r="22" spans="2:9" x14ac:dyDescent="0.25">
      <c r="B22" s="1" t="s">
        <v>207</v>
      </c>
      <c r="C22" s="16" t="s">
        <v>65</v>
      </c>
      <c r="E22" s="26">
        <f>E15*EBITDA_0</f>
      </c>
      <c r="F22" s="26">
        <f>F15*EBITDA_0</f>
      </c>
      <c r="G22" s="26">
        <f>G15*EBITDA_0</f>
      </c>
      <c r="H22" s="26">
        <f>H15*EBITDA_0</f>
      </c>
      <c r="I22" s="26">
        <f>I15*EBITDA_0</f>
      </c>
    </row>
    <row r="23" spans="2:9" x14ac:dyDescent="0.25">
      <c r="B23" s="1" t="s">
        <v>116</v>
      </c>
      <c r="C23" s="16" t="s">
        <v>65</v>
      </c>
      <c r="E23" s="26">
        <f>Fee_Financing*(E22+Junior_0)</f>
      </c>
      <c r="F23" s="26">
        <f>Fee_Financing*(F22+Junior_0)</f>
      </c>
      <c r="G23" s="26">
        <f>Fee_Financing*(G22+Junior_0)</f>
      </c>
      <c r="H23" s="26">
        <f>Fee_Financing*(H22+Junior_0)</f>
      </c>
      <c r="I23" s="26">
        <f>Fee_Financing*(I22+Junior_0)</f>
      </c>
    </row>
    <row r="24" spans="2:9" x14ac:dyDescent="0.25">
      <c r="B24" s="1" t="s">
        <v>176</v>
      </c>
      <c r="C24" s="16" t="s">
        <v>65</v>
      </c>
      <c r="E24" s="26">
        <f>INDEX($F$41:$L$41,Holding_N)</f>
      </c>
      <c r="F24" s="26">
        <f>INDEX($F$57:$L$57,Holding_N)</f>
      </c>
      <c r="G24" s="26">
        <f>INDEX($F$73:$L$73,Holding_N)</f>
      </c>
      <c r="H24" s="26">
        <f>INDEX($F$89:$L$89,Holding_N)</f>
      </c>
      <c r="I24" s="26">
        <f>INDEX($F$105:$L$105,Holding_N)</f>
      </c>
    </row>
    <row r="26" ht="18" customHeight="1" spans="2:12" x14ac:dyDescent="0.25">
      <c r="B26" s="5" t="s">
        <v>208</v>
      </c>
      <c r="C26" s="6"/>
      <c r="D26" s="6"/>
      <c r="E26" s="6"/>
      <c r="F26" s="6"/>
      <c r="G26" s="6"/>
      <c r="H26" s="6"/>
      <c r="I26" s="6"/>
      <c r="J26" s="6"/>
      <c r="K26" s="6"/>
      <c r="L26" s="6"/>
    </row>
    <row r="27" hidden="1" spans="2:2" x14ac:dyDescent="0.25" outlineLevel="1" collapsed="1">
      <c r="B27" s="47">
        <f>"Column "&amp;"E"&amp;": senior debt "&amp;FIXED(E$15,1)&amp;"x EBITDA"</f>
      </c>
    </row>
    <row r="28" hidden="1" spans="2:12" x14ac:dyDescent="0.25" outlineLevel="1" collapsed="1">
      <c r="B28" s="19" t="s">
        <v>209</v>
      </c>
      <c r="C28" s="16" t="s">
        <v>65</v>
      </c>
      <c r="F28" s="26">
        <f>E39</f>
      </c>
      <c r="G28" s="26">
        <f>F39</f>
      </c>
      <c r="H28" s="26">
        <f>G39</f>
      </c>
      <c r="I28" s="26">
        <f>H39</f>
      </c>
      <c r="J28" s="26">
        <f>I39</f>
      </c>
      <c r="K28" s="26">
        <f>J39</f>
      </c>
      <c r="L28" s="26">
        <f>K39</f>
      </c>
    </row>
    <row r="29" hidden="1" spans="2:12" x14ac:dyDescent="0.25" outlineLevel="1" collapsed="1">
      <c r="B29" s="19" t="s">
        <v>210</v>
      </c>
      <c r="C29" s="16" t="s">
        <v>65</v>
      </c>
      <c r="F29" s="26">
        <f>E40</f>
      </c>
      <c r="G29" s="26">
        <f>F40</f>
      </c>
      <c r="H29" s="26">
        <f>G40</f>
      </c>
      <c r="I29" s="26">
        <f>H40</f>
      </c>
      <c r="J29" s="26">
        <f>I40</f>
      </c>
      <c r="K29" s="26">
        <f>J40</f>
      </c>
      <c r="L29" s="26">
        <f>K40</f>
      </c>
    </row>
    <row r="30" hidden="1" spans="2:12" x14ac:dyDescent="0.25" outlineLevel="1" collapsed="1">
      <c r="B30" s="19" t="s">
        <v>211</v>
      </c>
      <c r="C30" s="16" t="s">
        <v>65</v>
      </c>
      <c r="F30" s="26">
        <f>E42</f>
      </c>
      <c r="G30" s="26">
        <f>F42</f>
      </c>
      <c r="H30" s="26">
        <f>G42</f>
      </c>
      <c r="I30" s="26">
        <f>H42</f>
      </c>
      <c r="J30" s="26">
        <f>I42</f>
      </c>
      <c r="K30" s="26">
        <f>J42</f>
      </c>
      <c r="L30" s="26">
        <f>K42</f>
      </c>
    </row>
    <row r="31" hidden="1" spans="2:12" x14ac:dyDescent="0.25" outlineLevel="1" collapsed="1">
      <c r="B31" s="19" t="s">
        <v>212</v>
      </c>
      <c r="C31" s="16" t="s">
        <v>65</v>
      </c>
      <c r="F31" s="26">
        <f>'Debt Schedule'!F8*F28</f>
      </c>
      <c r="G31" s="26">
        <f>'Debt Schedule'!G8*G28</f>
      </c>
      <c r="H31" s="26">
        <f>'Debt Schedule'!H8*H28</f>
      </c>
      <c r="I31" s="26">
        <f>'Debt Schedule'!I8*I28</f>
      </c>
      <c r="J31" s="26">
        <f>'Debt Schedule'!J8*J28</f>
      </c>
      <c r="K31" s="26">
        <f>'Debt Schedule'!K8*K28</f>
      </c>
      <c r="L31" s="26">
        <f>'Debt Schedule'!L8*L28</f>
      </c>
    </row>
    <row r="32" hidden="1" spans="2:12" x14ac:dyDescent="0.25" outlineLevel="1" collapsed="1">
      <c r="B32" s="19" t="s">
        <v>213</v>
      </c>
      <c r="C32" s="16" t="s">
        <v>65</v>
      </c>
      <c r="F32" s="26">
        <f>'Debt Schedule'!F9*F29</f>
      </c>
      <c r="G32" s="26">
        <f>'Debt Schedule'!G9*G29</f>
      </c>
      <c r="H32" s="26">
        <f>'Debt Schedule'!H9*H29</f>
      </c>
      <c r="I32" s="26">
        <f>'Debt Schedule'!I9*I29</f>
      </c>
      <c r="J32" s="26">
        <f>'Debt Schedule'!J9*J29</f>
      </c>
      <c r="K32" s="26">
        <f>'Debt Schedule'!K9*K29</f>
      </c>
      <c r="L32" s="26">
        <f>'Debt Schedule'!L9*L29</f>
      </c>
    </row>
    <row r="33" hidden="1" spans="2:12" x14ac:dyDescent="0.25" outlineLevel="1" collapsed="1">
      <c r="B33" s="19" t="s">
        <v>214</v>
      </c>
      <c r="C33" s="16" t="s">
        <v>65</v>
      </c>
      <c r="F33" s="26">
        <f>IF(Junior_Payment="PIK",F32,0)</f>
      </c>
      <c r="G33" s="26">
        <f>IF(Junior_Payment="PIK",G32,0)</f>
      </c>
      <c r="H33" s="26">
        <f>IF(Junior_Payment="PIK",H32,0)</f>
      </c>
      <c r="I33" s="26">
        <f>IF(Junior_Payment="PIK",I32,0)</f>
      </c>
      <c r="J33" s="26">
        <f>IF(Junior_Payment="PIK",J32,0)</f>
      </c>
      <c r="K33" s="26">
        <f>IF(Junior_Payment="PIK",K32,0)</f>
      </c>
      <c r="L33" s="26">
        <f>IF(Junior_Payment="PIK",L32,0)</f>
      </c>
    </row>
    <row r="34" hidden="1" spans="2:12" x14ac:dyDescent="0.25" outlineLevel="1" collapsed="1">
      <c r="B34" s="19" t="s">
        <v>155</v>
      </c>
      <c r="C34" s="16" t="s">
        <v>65</v>
      </c>
      <c r="F34" s="26">
        <f>Cash_Rate*MAX(0,F30)</f>
      </c>
      <c r="G34" s="26">
        <f>Cash_Rate*MAX(0,G30)</f>
      </c>
      <c r="H34" s="26">
        <f>Cash_Rate*MAX(0,H30)</f>
      </c>
      <c r="I34" s="26">
        <f>Cash_Rate*MAX(0,I30)</f>
      </c>
      <c r="J34" s="26">
        <f>Cash_Rate*MAX(0,J30)</f>
      </c>
      <c r="K34" s="26">
        <f>Cash_Rate*MAX(0,K30)</f>
      </c>
      <c r="L34" s="26">
        <f>Cash_Rate*MAX(0,L30)</f>
      </c>
    </row>
    <row r="35" hidden="1" spans="2:12" x14ac:dyDescent="0.25" outlineLevel="1" collapsed="1">
      <c r="B35" s="19" t="s">
        <v>157</v>
      </c>
      <c r="C35" s="16" t="s">
        <v>65</v>
      </c>
      <c r="F35" s="26">
        <f>Tax_Rate*MAX(0,Operations!F15+F34-IF(Interest_Deductible="Yes",F31+F32,0))</f>
      </c>
      <c r="G35" s="26">
        <f>Tax_Rate*MAX(0,Operations!G15+G34-IF(Interest_Deductible="Yes",G31+G32,0))</f>
      </c>
      <c r="H35" s="26">
        <f>Tax_Rate*MAX(0,Operations!H15+H34-IF(Interest_Deductible="Yes",H31+H32,0))</f>
      </c>
      <c r="I35" s="26">
        <f>Tax_Rate*MAX(0,Operations!I15+I34-IF(Interest_Deductible="Yes",I31+I32,0))</f>
      </c>
      <c r="J35" s="26">
        <f>Tax_Rate*MAX(0,Operations!J15+J34-IF(Interest_Deductible="Yes",J31+J32,0))</f>
      </c>
      <c r="K35" s="26">
        <f>Tax_Rate*MAX(0,Operations!K15+K34-IF(Interest_Deductible="Yes",K31+K32,0))</f>
      </c>
      <c r="L35" s="26">
        <f>Tax_Rate*MAX(0,Operations!L15+L34-IF(Interest_Deductible="Yes",L31+L32,0))</f>
      </c>
    </row>
    <row r="36" hidden="1" spans="2:12" x14ac:dyDescent="0.25" outlineLevel="1" collapsed="1">
      <c r="B36" s="19" t="s">
        <v>105</v>
      </c>
      <c r="C36" s="16" t="s">
        <v>65</v>
      </c>
      <c r="F36" s="26">
        <f>MIN(F28,Senior_Amort*$E$39)</f>
      </c>
      <c r="G36" s="26">
        <f>MIN(G28,Senior_Amort*$E$39)</f>
      </c>
      <c r="H36" s="26">
        <f>MIN(H28,Senior_Amort*$E$39)</f>
      </c>
      <c r="I36" s="26">
        <f>MIN(I28,Senior_Amort*$E$39)</f>
      </c>
      <c r="J36" s="26">
        <f>MIN(J28,Senior_Amort*$E$39)</f>
      </c>
      <c r="K36" s="26">
        <f>MIN(K28,Senior_Amort*$E$39)</f>
      </c>
      <c r="L36" s="26">
        <f>MIN(L28,Senior_Amort*$E$39)</f>
      </c>
    </row>
    <row r="37" hidden="1" spans="2:12" x14ac:dyDescent="0.25" outlineLevel="1" collapsed="1">
      <c r="B37" s="19" t="s">
        <v>165</v>
      </c>
      <c r="C37" s="16" t="s">
        <v>65</v>
      </c>
      <c r="F37" s="26">
        <f>Operations!F13-F35-Operations!F16-Operations!F17-(F31+(F32-F33)-F34)-F36</f>
      </c>
      <c r="G37" s="26">
        <f>Operations!G13-G35-Operations!G16-Operations!G17-(G31+(G32-G33)-G34)-G36</f>
      </c>
      <c r="H37" s="26">
        <f>Operations!H13-H35-Operations!H16-Operations!H17-(H31+(H32-H33)-H34)-H36</f>
      </c>
      <c r="I37" s="26">
        <f>Operations!I13-I35-Operations!I16-Operations!I17-(I31+(I32-I33)-I34)-I36</f>
      </c>
      <c r="J37" s="26">
        <f>Operations!J13-J35-Operations!J16-Operations!J17-(J31+(J32-J33)-J34)-J36</f>
      </c>
      <c r="K37" s="26">
        <f>Operations!K13-K35-Operations!K16-Operations!K17-(K31+(K32-K33)-K34)-K36</f>
      </c>
      <c r="L37" s="26">
        <f>Operations!L13-L35-Operations!L16-Operations!L17-(L31+(L32-L33)-L34)-L36</f>
      </c>
    </row>
    <row r="38" hidden="1" spans="2:12" x14ac:dyDescent="0.25" outlineLevel="1" collapsed="1">
      <c r="B38" s="19" t="s">
        <v>107</v>
      </c>
      <c r="C38" s="16" t="s">
        <v>65</v>
      </c>
      <c r="F38" s="26">
        <f>MIN(F28-F36,Sweep_Share*MAX(0,F30+F37-Min_Cash))</f>
      </c>
      <c r="G38" s="26">
        <f>MIN(G28-G36,Sweep_Share*MAX(0,G30+G37-Min_Cash))</f>
      </c>
      <c r="H38" s="26">
        <f>MIN(H28-H36,Sweep_Share*MAX(0,H30+H37-Min_Cash))</f>
      </c>
      <c r="I38" s="26">
        <f>MIN(I28-I36,Sweep_Share*MAX(0,I30+I37-Min_Cash))</f>
      </c>
      <c r="J38" s="26">
        <f>MIN(J28-J36,Sweep_Share*MAX(0,J30+J37-Min_Cash))</f>
      </c>
      <c r="K38" s="26">
        <f>MIN(K28-K36,Sweep_Share*MAX(0,K30+K37-Min_Cash))</f>
      </c>
      <c r="L38" s="26">
        <f>MIN(L28-L36,Sweep_Share*MAX(0,L30+L37-Min_Cash))</f>
      </c>
    </row>
    <row r="39" hidden="1" spans="2:12" x14ac:dyDescent="0.25" outlineLevel="1" collapsed="1">
      <c r="B39" s="19" t="s">
        <v>215</v>
      </c>
      <c r="C39" s="16" t="s">
        <v>65</v>
      </c>
      <c r="E39" s="26">
        <f>E$22</f>
      </c>
      <c r="F39" s="26">
        <f>F28-F36-F38</f>
      </c>
      <c r="G39" s="26">
        <f>G28-G36-G38</f>
      </c>
      <c r="H39" s="26">
        <f>H28-H36-H38</f>
      </c>
      <c r="I39" s="26">
        <f>I28-I36-I38</f>
      </c>
      <c r="J39" s="26">
        <f>J28-J36-J38</f>
      </c>
      <c r="K39" s="26">
        <f>K28-K36-K38</f>
      </c>
      <c r="L39" s="26">
        <f>L28-L36-L38</f>
      </c>
    </row>
    <row r="40" hidden="1" spans="2:12" x14ac:dyDescent="0.25" outlineLevel="1" collapsed="1">
      <c r="B40" s="19" t="s">
        <v>216</v>
      </c>
      <c r="C40" s="16" t="s">
        <v>65</v>
      </c>
      <c r="E40" s="32">
        <f>Junior_0</f>
      </c>
      <c r="F40" s="26">
        <f>F29+F33</f>
      </c>
      <c r="G40" s="26">
        <f>G29+G33</f>
      </c>
      <c r="H40" s="26">
        <f>H29+H33</f>
      </c>
      <c r="I40" s="26">
        <f>I29+I33</f>
      </c>
      <c r="J40" s="26">
        <f>J29+J33</f>
      </c>
      <c r="K40" s="26">
        <f>K29+K33</f>
      </c>
      <c r="L40" s="26">
        <f>L29+L33</f>
      </c>
    </row>
    <row r="41" hidden="1" spans="2:12" x14ac:dyDescent="0.25" outlineLevel="1" collapsed="1">
      <c r="B41" s="19" t="s">
        <v>217</v>
      </c>
      <c r="C41" s="16" t="s">
        <v>65</v>
      </c>
      <c r="E41" s="26">
        <f>E39+E40-E42</f>
      </c>
      <c r="F41" s="26">
        <f>F39+F40-F42</f>
      </c>
      <c r="G41" s="26">
        <f>G39+G40-G42</f>
      </c>
      <c r="H41" s="26">
        <f>H39+H40-H42</f>
      </c>
      <c r="I41" s="26">
        <f>I39+I40-I42</f>
      </c>
      <c r="J41" s="26">
        <f>J39+J40-J42</f>
      </c>
      <c r="K41" s="26">
        <f>K39+K40-K42</f>
      </c>
      <c r="L41" s="26">
        <f>L39+L40-L42</f>
      </c>
    </row>
    <row r="42" hidden="1" spans="2:12" x14ac:dyDescent="0.25" outlineLevel="1" collapsed="1">
      <c r="B42" s="19" t="s">
        <v>218</v>
      </c>
      <c r="C42" s="16" t="s">
        <v>65</v>
      </c>
      <c r="E42" s="32">
        <f>Cash_0</f>
      </c>
      <c r="F42" s="26">
        <f>F30+F37-F38</f>
      </c>
      <c r="G42" s="26">
        <f>G30+G37-G38</f>
      </c>
      <c r="H42" s="26">
        <f>H30+H37-H38</f>
      </c>
      <c r="I42" s="26">
        <f>I30+I37-I38</f>
      </c>
      <c r="J42" s="26">
        <f>J30+J37-J38</f>
      </c>
      <c r="K42" s="26">
        <f>K30+K37-K38</f>
      </c>
      <c r="L42" s="26">
        <f>L30+L37-L38</f>
      </c>
    </row>
    <row r="43" hidden="1" spans="2:2" x14ac:dyDescent="0.25" outlineLevel="1" collapsed="1">
      <c r="B43" s="47">
        <f>"Column "&amp;"F"&amp;": senior debt "&amp;FIXED(F$15,1)&amp;"x EBITDA"</f>
      </c>
    </row>
    <row r="44" hidden="1" spans="2:12" x14ac:dyDescent="0.25" outlineLevel="1" collapsed="1">
      <c r="B44" s="19" t="s">
        <v>209</v>
      </c>
      <c r="C44" s="16" t="s">
        <v>65</v>
      </c>
      <c r="F44" s="26">
        <f>E55</f>
      </c>
      <c r="G44" s="26">
        <f>F55</f>
      </c>
      <c r="H44" s="26">
        <f>G55</f>
      </c>
      <c r="I44" s="26">
        <f>H55</f>
      </c>
      <c r="J44" s="26">
        <f>I55</f>
      </c>
      <c r="K44" s="26">
        <f>J55</f>
      </c>
      <c r="L44" s="26">
        <f>K55</f>
      </c>
    </row>
    <row r="45" hidden="1" spans="2:12" x14ac:dyDescent="0.25" outlineLevel="1" collapsed="1">
      <c r="B45" s="19" t="s">
        <v>210</v>
      </c>
      <c r="C45" s="16" t="s">
        <v>65</v>
      </c>
      <c r="F45" s="26">
        <f>E56</f>
      </c>
      <c r="G45" s="26">
        <f>F56</f>
      </c>
      <c r="H45" s="26">
        <f>G56</f>
      </c>
      <c r="I45" s="26">
        <f>H56</f>
      </c>
      <c r="J45" s="26">
        <f>I56</f>
      </c>
      <c r="K45" s="26">
        <f>J56</f>
      </c>
      <c r="L45" s="26">
        <f>K56</f>
      </c>
    </row>
    <row r="46" hidden="1" spans="2:12" x14ac:dyDescent="0.25" outlineLevel="1" collapsed="1">
      <c r="B46" s="19" t="s">
        <v>211</v>
      </c>
      <c r="C46" s="16" t="s">
        <v>65</v>
      </c>
      <c r="F46" s="26">
        <f>E58</f>
      </c>
      <c r="G46" s="26">
        <f>F58</f>
      </c>
      <c r="H46" s="26">
        <f>G58</f>
      </c>
      <c r="I46" s="26">
        <f>H58</f>
      </c>
      <c r="J46" s="26">
        <f>I58</f>
      </c>
      <c r="K46" s="26">
        <f>J58</f>
      </c>
      <c r="L46" s="26">
        <f>K58</f>
      </c>
    </row>
    <row r="47" hidden="1" spans="2:12" x14ac:dyDescent="0.25" outlineLevel="1" collapsed="1">
      <c r="B47" s="19" t="s">
        <v>212</v>
      </c>
      <c r="C47" s="16" t="s">
        <v>65</v>
      </c>
      <c r="F47" s="26">
        <f>'Debt Schedule'!F8*F44</f>
      </c>
      <c r="G47" s="26">
        <f>'Debt Schedule'!G8*G44</f>
      </c>
      <c r="H47" s="26">
        <f>'Debt Schedule'!H8*H44</f>
      </c>
      <c r="I47" s="26">
        <f>'Debt Schedule'!I8*I44</f>
      </c>
      <c r="J47" s="26">
        <f>'Debt Schedule'!J8*J44</f>
      </c>
      <c r="K47" s="26">
        <f>'Debt Schedule'!K8*K44</f>
      </c>
      <c r="L47" s="26">
        <f>'Debt Schedule'!L8*L44</f>
      </c>
    </row>
    <row r="48" hidden="1" spans="2:12" x14ac:dyDescent="0.25" outlineLevel="1" collapsed="1">
      <c r="B48" s="19" t="s">
        <v>213</v>
      </c>
      <c r="C48" s="16" t="s">
        <v>65</v>
      </c>
      <c r="F48" s="26">
        <f>'Debt Schedule'!F9*F45</f>
      </c>
      <c r="G48" s="26">
        <f>'Debt Schedule'!G9*G45</f>
      </c>
      <c r="H48" s="26">
        <f>'Debt Schedule'!H9*H45</f>
      </c>
      <c r="I48" s="26">
        <f>'Debt Schedule'!I9*I45</f>
      </c>
      <c r="J48" s="26">
        <f>'Debt Schedule'!J9*J45</f>
      </c>
      <c r="K48" s="26">
        <f>'Debt Schedule'!K9*K45</f>
      </c>
      <c r="L48" s="26">
        <f>'Debt Schedule'!L9*L45</f>
      </c>
    </row>
    <row r="49" hidden="1" spans="2:12" x14ac:dyDescent="0.25" outlineLevel="1" collapsed="1">
      <c r="B49" s="19" t="s">
        <v>214</v>
      </c>
      <c r="C49" s="16" t="s">
        <v>65</v>
      </c>
      <c r="F49" s="26">
        <f>IF(Junior_Payment="PIK",F48,0)</f>
      </c>
      <c r="G49" s="26">
        <f>IF(Junior_Payment="PIK",G48,0)</f>
      </c>
      <c r="H49" s="26">
        <f>IF(Junior_Payment="PIK",H48,0)</f>
      </c>
      <c r="I49" s="26">
        <f>IF(Junior_Payment="PIK",I48,0)</f>
      </c>
      <c r="J49" s="26">
        <f>IF(Junior_Payment="PIK",J48,0)</f>
      </c>
      <c r="K49" s="26">
        <f>IF(Junior_Payment="PIK",K48,0)</f>
      </c>
      <c r="L49" s="26">
        <f>IF(Junior_Payment="PIK",L48,0)</f>
      </c>
    </row>
    <row r="50" hidden="1" spans="2:12" x14ac:dyDescent="0.25" outlineLevel="1" collapsed="1">
      <c r="B50" s="19" t="s">
        <v>155</v>
      </c>
      <c r="C50" s="16" t="s">
        <v>65</v>
      </c>
      <c r="F50" s="26">
        <f>Cash_Rate*MAX(0,F46)</f>
      </c>
      <c r="G50" s="26">
        <f>Cash_Rate*MAX(0,G46)</f>
      </c>
      <c r="H50" s="26">
        <f>Cash_Rate*MAX(0,H46)</f>
      </c>
      <c r="I50" s="26">
        <f>Cash_Rate*MAX(0,I46)</f>
      </c>
      <c r="J50" s="26">
        <f>Cash_Rate*MAX(0,J46)</f>
      </c>
      <c r="K50" s="26">
        <f>Cash_Rate*MAX(0,K46)</f>
      </c>
      <c r="L50" s="26">
        <f>Cash_Rate*MAX(0,L46)</f>
      </c>
    </row>
    <row r="51" hidden="1" spans="2:12" x14ac:dyDescent="0.25" outlineLevel="1" collapsed="1">
      <c r="B51" s="19" t="s">
        <v>157</v>
      </c>
      <c r="C51" s="16" t="s">
        <v>65</v>
      </c>
      <c r="F51" s="26">
        <f>Tax_Rate*MAX(0,Operations!F15+F50-IF(Interest_Deductible="Yes",F47+F48,0))</f>
      </c>
      <c r="G51" s="26">
        <f>Tax_Rate*MAX(0,Operations!G15+G50-IF(Interest_Deductible="Yes",G47+G48,0))</f>
      </c>
      <c r="H51" s="26">
        <f>Tax_Rate*MAX(0,Operations!H15+H50-IF(Interest_Deductible="Yes",H47+H48,0))</f>
      </c>
      <c r="I51" s="26">
        <f>Tax_Rate*MAX(0,Operations!I15+I50-IF(Interest_Deductible="Yes",I47+I48,0))</f>
      </c>
      <c r="J51" s="26">
        <f>Tax_Rate*MAX(0,Operations!J15+J50-IF(Interest_Deductible="Yes",J47+J48,0))</f>
      </c>
      <c r="K51" s="26">
        <f>Tax_Rate*MAX(0,Operations!K15+K50-IF(Interest_Deductible="Yes",K47+K48,0))</f>
      </c>
      <c r="L51" s="26">
        <f>Tax_Rate*MAX(0,Operations!L15+L50-IF(Interest_Deductible="Yes",L47+L48,0))</f>
      </c>
    </row>
    <row r="52" hidden="1" spans="2:12" x14ac:dyDescent="0.25" outlineLevel="1" collapsed="1">
      <c r="B52" s="19" t="s">
        <v>105</v>
      </c>
      <c r="C52" s="16" t="s">
        <v>65</v>
      </c>
      <c r="F52" s="26">
        <f>MIN(F44,Senior_Amort*$E$55)</f>
      </c>
      <c r="G52" s="26">
        <f>MIN(G44,Senior_Amort*$E$55)</f>
      </c>
      <c r="H52" s="26">
        <f>MIN(H44,Senior_Amort*$E$55)</f>
      </c>
      <c r="I52" s="26">
        <f>MIN(I44,Senior_Amort*$E$55)</f>
      </c>
      <c r="J52" s="26">
        <f>MIN(J44,Senior_Amort*$E$55)</f>
      </c>
      <c r="K52" s="26">
        <f>MIN(K44,Senior_Amort*$E$55)</f>
      </c>
      <c r="L52" s="26">
        <f>MIN(L44,Senior_Amort*$E$55)</f>
      </c>
    </row>
    <row r="53" hidden="1" spans="2:12" x14ac:dyDescent="0.25" outlineLevel="1" collapsed="1">
      <c r="B53" s="19" t="s">
        <v>165</v>
      </c>
      <c r="C53" s="16" t="s">
        <v>65</v>
      </c>
      <c r="F53" s="26">
        <f>Operations!F13-F51-Operations!F16-Operations!F17-(F47+(F48-F49)-F50)-F52</f>
      </c>
      <c r="G53" s="26">
        <f>Operations!G13-G51-Operations!G16-Operations!G17-(G47+(G48-G49)-G50)-G52</f>
      </c>
      <c r="H53" s="26">
        <f>Operations!H13-H51-Operations!H16-Operations!H17-(H47+(H48-H49)-H50)-H52</f>
      </c>
      <c r="I53" s="26">
        <f>Operations!I13-I51-Operations!I16-Operations!I17-(I47+(I48-I49)-I50)-I52</f>
      </c>
      <c r="J53" s="26">
        <f>Operations!J13-J51-Operations!J16-Operations!J17-(J47+(J48-J49)-J50)-J52</f>
      </c>
      <c r="K53" s="26">
        <f>Operations!K13-K51-Operations!K16-Operations!K17-(K47+(K48-K49)-K50)-K52</f>
      </c>
      <c r="L53" s="26">
        <f>Operations!L13-L51-Operations!L16-Operations!L17-(L47+(L48-L49)-L50)-L52</f>
      </c>
    </row>
    <row r="54" hidden="1" spans="2:12" x14ac:dyDescent="0.25" outlineLevel="1" collapsed="1">
      <c r="B54" s="19" t="s">
        <v>107</v>
      </c>
      <c r="C54" s="16" t="s">
        <v>65</v>
      </c>
      <c r="F54" s="26">
        <f>MIN(F44-F52,Sweep_Share*MAX(0,F46+F53-Min_Cash))</f>
      </c>
      <c r="G54" s="26">
        <f>MIN(G44-G52,Sweep_Share*MAX(0,G46+G53-Min_Cash))</f>
      </c>
      <c r="H54" s="26">
        <f>MIN(H44-H52,Sweep_Share*MAX(0,H46+H53-Min_Cash))</f>
      </c>
      <c r="I54" s="26">
        <f>MIN(I44-I52,Sweep_Share*MAX(0,I46+I53-Min_Cash))</f>
      </c>
      <c r="J54" s="26">
        <f>MIN(J44-J52,Sweep_Share*MAX(0,J46+J53-Min_Cash))</f>
      </c>
      <c r="K54" s="26">
        <f>MIN(K44-K52,Sweep_Share*MAX(0,K46+K53-Min_Cash))</f>
      </c>
      <c r="L54" s="26">
        <f>MIN(L44-L52,Sweep_Share*MAX(0,L46+L53-Min_Cash))</f>
      </c>
    </row>
    <row r="55" hidden="1" spans="2:12" x14ac:dyDescent="0.25" outlineLevel="1" collapsed="1">
      <c r="B55" s="19" t="s">
        <v>215</v>
      </c>
      <c r="C55" s="16" t="s">
        <v>65</v>
      </c>
      <c r="E55" s="26">
        <f>F$22</f>
      </c>
      <c r="F55" s="26">
        <f>F44-F52-F54</f>
      </c>
      <c r="G55" s="26">
        <f>G44-G52-G54</f>
      </c>
      <c r="H55" s="26">
        <f>H44-H52-H54</f>
      </c>
      <c r="I55" s="26">
        <f>I44-I52-I54</f>
      </c>
      <c r="J55" s="26">
        <f>J44-J52-J54</f>
      </c>
      <c r="K55" s="26">
        <f>K44-K52-K54</f>
      </c>
      <c r="L55" s="26">
        <f>L44-L52-L54</f>
      </c>
    </row>
    <row r="56" hidden="1" spans="2:12" x14ac:dyDescent="0.25" outlineLevel="1" collapsed="1">
      <c r="B56" s="19" t="s">
        <v>216</v>
      </c>
      <c r="C56" s="16" t="s">
        <v>65</v>
      </c>
      <c r="E56" s="32">
        <f>Junior_0</f>
      </c>
      <c r="F56" s="26">
        <f>F45+F49</f>
      </c>
      <c r="G56" s="26">
        <f>G45+G49</f>
      </c>
      <c r="H56" s="26">
        <f>H45+H49</f>
      </c>
      <c r="I56" s="26">
        <f>I45+I49</f>
      </c>
      <c r="J56" s="26">
        <f>J45+J49</f>
      </c>
      <c r="K56" s="26">
        <f>K45+K49</f>
      </c>
      <c r="L56" s="26">
        <f>L45+L49</f>
      </c>
    </row>
    <row r="57" hidden="1" spans="2:12" x14ac:dyDescent="0.25" outlineLevel="1" collapsed="1">
      <c r="B57" s="19" t="s">
        <v>217</v>
      </c>
      <c r="C57" s="16" t="s">
        <v>65</v>
      </c>
      <c r="E57" s="26">
        <f>E55+E56-E58</f>
      </c>
      <c r="F57" s="26">
        <f>F55+F56-F58</f>
      </c>
      <c r="G57" s="26">
        <f>G55+G56-G58</f>
      </c>
      <c r="H57" s="26">
        <f>H55+H56-H58</f>
      </c>
      <c r="I57" s="26">
        <f>I55+I56-I58</f>
      </c>
      <c r="J57" s="26">
        <f>J55+J56-J58</f>
      </c>
      <c r="K57" s="26">
        <f>K55+K56-K58</f>
      </c>
      <c r="L57" s="26">
        <f>L55+L56-L58</f>
      </c>
    </row>
    <row r="58" hidden="1" spans="2:12" x14ac:dyDescent="0.25" outlineLevel="1" collapsed="1">
      <c r="B58" s="19" t="s">
        <v>218</v>
      </c>
      <c r="C58" s="16" t="s">
        <v>65</v>
      </c>
      <c r="E58" s="32">
        <f>Cash_0</f>
      </c>
      <c r="F58" s="26">
        <f>F46+F53-F54</f>
      </c>
      <c r="G58" s="26">
        <f>G46+G53-G54</f>
      </c>
      <c r="H58" s="26">
        <f>H46+H53-H54</f>
      </c>
      <c r="I58" s="26">
        <f>I46+I53-I54</f>
      </c>
      <c r="J58" s="26">
        <f>J46+J53-J54</f>
      </c>
      <c r="K58" s="26">
        <f>K46+K53-K54</f>
      </c>
      <c r="L58" s="26">
        <f>L46+L53-L54</f>
      </c>
    </row>
    <row r="59" hidden="1" spans="2:2" x14ac:dyDescent="0.25" outlineLevel="1" collapsed="1">
      <c r="B59" s="47">
        <f>"Column "&amp;"G"&amp;": senior debt "&amp;FIXED(G$15,1)&amp;"x EBITDA"</f>
      </c>
    </row>
    <row r="60" hidden="1" spans="2:12" x14ac:dyDescent="0.25" outlineLevel="1" collapsed="1">
      <c r="B60" s="19" t="s">
        <v>209</v>
      </c>
      <c r="C60" s="16" t="s">
        <v>65</v>
      </c>
      <c r="F60" s="26">
        <f>E71</f>
      </c>
      <c r="G60" s="26">
        <f>F71</f>
      </c>
      <c r="H60" s="26">
        <f>G71</f>
      </c>
      <c r="I60" s="26">
        <f>H71</f>
      </c>
      <c r="J60" s="26">
        <f>I71</f>
      </c>
      <c r="K60" s="26">
        <f>J71</f>
      </c>
      <c r="L60" s="26">
        <f>K71</f>
      </c>
    </row>
    <row r="61" hidden="1" spans="2:12" x14ac:dyDescent="0.25" outlineLevel="1" collapsed="1">
      <c r="B61" s="19" t="s">
        <v>210</v>
      </c>
      <c r="C61" s="16" t="s">
        <v>65</v>
      </c>
      <c r="F61" s="26">
        <f>E72</f>
      </c>
      <c r="G61" s="26">
        <f>F72</f>
      </c>
      <c r="H61" s="26">
        <f>G72</f>
      </c>
      <c r="I61" s="26">
        <f>H72</f>
      </c>
      <c r="J61" s="26">
        <f>I72</f>
      </c>
      <c r="K61" s="26">
        <f>J72</f>
      </c>
      <c r="L61" s="26">
        <f>K72</f>
      </c>
    </row>
    <row r="62" hidden="1" spans="2:12" x14ac:dyDescent="0.25" outlineLevel="1" collapsed="1">
      <c r="B62" s="19" t="s">
        <v>211</v>
      </c>
      <c r="C62" s="16" t="s">
        <v>65</v>
      </c>
      <c r="F62" s="26">
        <f>E74</f>
      </c>
      <c r="G62" s="26">
        <f>F74</f>
      </c>
      <c r="H62" s="26">
        <f>G74</f>
      </c>
      <c r="I62" s="26">
        <f>H74</f>
      </c>
      <c r="J62" s="26">
        <f>I74</f>
      </c>
      <c r="K62" s="26">
        <f>J74</f>
      </c>
      <c r="L62" s="26">
        <f>K74</f>
      </c>
    </row>
    <row r="63" hidden="1" spans="2:12" x14ac:dyDescent="0.25" outlineLevel="1" collapsed="1">
      <c r="B63" s="19" t="s">
        <v>212</v>
      </c>
      <c r="C63" s="16" t="s">
        <v>65</v>
      </c>
      <c r="F63" s="26">
        <f>'Debt Schedule'!F8*F60</f>
      </c>
      <c r="G63" s="26">
        <f>'Debt Schedule'!G8*G60</f>
      </c>
      <c r="H63" s="26">
        <f>'Debt Schedule'!H8*H60</f>
      </c>
      <c r="I63" s="26">
        <f>'Debt Schedule'!I8*I60</f>
      </c>
      <c r="J63" s="26">
        <f>'Debt Schedule'!J8*J60</f>
      </c>
      <c r="K63" s="26">
        <f>'Debt Schedule'!K8*K60</f>
      </c>
      <c r="L63" s="26">
        <f>'Debt Schedule'!L8*L60</f>
      </c>
    </row>
    <row r="64" hidden="1" spans="2:12" x14ac:dyDescent="0.25" outlineLevel="1" collapsed="1">
      <c r="B64" s="19" t="s">
        <v>213</v>
      </c>
      <c r="C64" s="16" t="s">
        <v>65</v>
      </c>
      <c r="F64" s="26">
        <f>'Debt Schedule'!F9*F61</f>
      </c>
      <c r="G64" s="26">
        <f>'Debt Schedule'!G9*G61</f>
      </c>
      <c r="H64" s="26">
        <f>'Debt Schedule'!H9*H61</f>
      </c>
      <c r="I64" s="26">
        <f>'Debt Schedule'!I9*I61</f>
      </c>
      <c r="J64" s="26">
        <f>'Debt Schedule'!J9*J61</f>
      </c>
      <c r="K64" s="26">
        <f>'Debt Schedule'!K9*K61</f>
      </c>
      <c r="L64" s="26">
        <f>'Debt Schedule'!L9*L61</f>
      </c>
    </row>
    <row r="65" hidden="1" spans="2:12" x14ac:dyDescent="0.25" outlineLevel="1" collapsed="1">
      <c r="B65" s="19" t="s">
        <v>214</v>
      </c>
      <c r="C65" s="16" t="s">
        <v>65</v>
      </c>
      <c r="F65" s="26">
        <f>IF(Junior_Payment="PIK",F64,0)</f>
      </c>
      <c r="G65" s="26">
        <f>IF(Junior_Payment="PIK",G64,0)</f>
      </c>
      <c r="H65" s="26">
        <f>IF(Junior_Payment="PIK",H64,0)</f>
      </c>
      <c r="I65" s="26">
        <f>IF(Junior_Payment="PIK",I64,0)</f>
      </c>
      <c r="J65" s="26">
        <f>IF(Junior_Payment="PIK",J64,0)</f>
      </c>
      <c r="K65" s="26">
        <f>IF(Junior_Payment="PIK",K64,0)</f>
      </c>
      <c r="L65" s="26">
        <f>IF(Junior_Payment="PIK",L64,0)</f>
      </c>
    </row>
    <row r="66" hidden="1" spans="2:12" x14ac:dyDescent="0.25" outlineLevel="1" collapsed="1">
      <c r="B66" s="19" t="s">
        <v>155</v>
      </c>
      <c r="C66" s="16" t="s">
        <v>65</v>
      </c>
      <c r="F66" s="26">
        <f>Cash_Rate*MAX(0,F62)</f>
      </c>
      <c r="G66" s="26">
        <f>Cash_Rate*MAX(0,G62)</f>
      </c>
      <c r="H66" s="26">
        <f>Cash_Rate*MAX(0,H62)</f>
      </c>
      <c r="I66" s="26">
        <f>Cash_Rate*MAX(0,I62)</f>
      </c>
      <c r="J66" s="26">
        <f>Cash_Rate*MAX(0,J62)</f>
      </c>
      <c r="K66" s="26">
        <f>Cash_Rate*MAX(0,K62)</f>
      </c>
      <c r="L66" s="26">
        <f>Cash_Rate*MAX(0,L62)</f>
      </c>
    </row>
    <row r="67" hidden="1" spans="2:12" x14ac:dyDescent="0.25" outlineLevel="1" collapsed="1">
      <c r="B67" s="19" t="s">
        <v>157</v>
      </c>
      <c r="C67" s="16" t="s">
        <v>65</v>
      </c>
      <c r="F67" s="26">
        <f>Tax_Rate*MAX(0,Operations!F15+F66-IF(Interest_Deductible="Yes",F63+F64,0))</f>
      </c>
      <c r="G67" s="26">
        <f>Tax_Rate*MAX(0,Operations!G15+G66-IF(Interest_Deductible="Yes",G63+G64,0))</f>
      </c>
      <c r="H67" s="26">
        <f>Tax_Rate*MAX(0,Operations!H15+H66-IF(Interest_Deductible="Yes",H63+H64,0))</f>
      </c>
      <c r="I67" s="26">
        <f>Tax_Rate*MAX(0,Operations!I15+I66-IF(Interest_Deductible="Yes",I63+I64,0))</f>
      </c>
      <c r="J67" s="26">
        <f>Tax_Rate*MAX(0,Operations!J15+J66-IF(Interest_Deductible="Yes",J63+J64,0))</f>
      </c>
      <c r="K67" s="26">
        <f>Tax_Rate*MAX(0,Operations!K15+K66-IF(Interest_Deductible="Yes",K63+K64,0))</f>
      </c>
      <c r="L67" s="26">
        <f>Tax_Rate*MAX(0,Operations!L15+L66-IF(Interest_Deductible="Yes",L63+L64,0))</f>
      </c>
    </row>
    <row r="68" hidden="1" spans="2:12" x14ac:dyDescent="0.25" outlineLevel="1" collapsed="1">
      <c r="B68" s="19" t="s">
        <v>105</v>
      </c>
      <c r="C68" s="16" t="s">
        <v>65</v>
      </c>
      <c r="F68" s="26">
        <f>MIN(F60,Senior_Amort*$E$71)</f>
      </c>
      <c r="G68" s="26">
        <f>MIN(G60,Senior_Amort*$E$71)</f>
      </c>
      <c r="H68" s="26">
        <f>MIN(H60,Senior_Amort*$E$71)</f>
      </c>
      <c r="I68" s="26">
        <f>MIN(I60,Senior_Amort*$E$71)</f>
      </c>
      <c r="J68" s="26">
        <f>MIN(J60,Senior_Amort*$E$71)</f>
      </c>
      <c r="K68" s="26">
        <f>MIN(K60,Senior_Amort*$E$71)</f>
      </c>
      <c r="L68" s="26">
        <f>MIN(L60,Senior_Amort*$E$71)</f>
      </c>
    </row>
    <row r="69" hidden="1" spans="2:12" x14ac:dyDescent="0.25" outlineLevel="1" collapsed="1">
      <c r="B69" s="19" t="s">
        <v>165</v>
      </c>
      <c r="C69" s="16" t="s">
        <v>65</v>
      </c>
      <c r="F69" s="26">
        <f>Operations!F13-F67-Operations!F16-Operations!F17-(F63+(F64-F65)-F66)-F68</f>
      </c>
      <c r="G69" s="26">
        <f>Operations!G13-G67-Operations!G16-Operations!G17-(G63+(G64-G65)-G66)-G68</f>
      </c>
      <c r="H69" s="26">
        <f>Operations!H13-H67-Operations!H16-Operations!H17-(H63+(H64-H65)-H66)-H68</f>
      </c>
      <c r="I69" s="26">
        <f>Operations!I13-I67-Operations!I16-Operations!I17-(I63+(I64-I65)-I66)-I68</f>
      </c>
      <c r="J69" s="26">
        <f>Operations!J13-J67-Operations!J16-Operations!J17-(J63+(J64-J65)-J66)-J68</f>
      </c>
      <c r="K69" s="26">
        <f>Operations!K13-K67-Operations!K16-Operations!K17-(K63+(K64-K65)-K66)-K68</f>
      </c>
      <c r="L69" s="26">
        <f>Operations!L13-L67-Operations!L16-Operations!L17-(L63+(L64-L65)-L66)-L68</f>
      </c>
    </row>
    <row r="70" hidden="1" spans="2:12" x14ac:dyDescent="0.25" outlineLevel="1" collapsed="1">
      <c r="B70" s="19" t="s">
        <v>107</v>
      </c>
      <c r="C70" s="16" t="s">
        <v>65</v>
      </c>
      <c r="F70" s="26">
        <f>MIN(F60-F68,Sweep_Share*MAX(0,F62+F69-Min_Cash))</f>
      </c>
      <c r="G70" s="26">
        <f>MIN(G60-G68,Sweep_Share*MAX(0,G62+G69-Min_Cash))</f>
      </c>
      <c r="H70" s="26">
        <f>MIN(H60-H68,Sweep_Share*MAX(0,H62+H69-Min_Cash))</f>
      </c>
      <c r="I70" s="26">
        <f>MIN(I60-I68,Sweep_Share*MAX(0,I62+I69-Min_Cash))</f>
      </c>
      <c r="J70" s="26">
        <f>MIN(J60-J68,Sweep_Share*MAX(0,J62+J69-Min_Cash))</f>
      </c>
      <c r="K70" s="26">
        <f>MIN(K60-K68,Sweep_Share*MAX(0,K62+K69-Min_Cash))</f>
      </c>
      <c r="L70" s="26">
        <f>MIN(L60-L68,Sweep_Share*MAX(0,L62+L69-Min_Cash))</f>
      </c>
    </row>
    <row r="71" hidden="1" spans="2:12" x14ac:dyDescent="0.25" outlineLevel="1" collapsed="1">
      <c r="B71" s="19" t="s">
        <v>215</v>
      </c>
      <c r="C71" s="16" t="s">
        <v>65</v>
      </c>
      <c r="E71" s="26">
        <f>G$22</f>
      </c>
      <c r="F71" s="26">
        <f>F60-F68-F70</f>
      </c>
      <c r="G71" s="26">
        <f>G60-G68-G70</f>
      </c>
      <c r="H71" s="26">
        <f>H60-H68-H70</f>
      </c>
      <c r="I71" s="26">
        <f>I60-I68-I70</f>
      </c>
      <c r="J71" s="26">
        <f>J60-J68-J70</f>
      </c>
      <c r="K71" s="26">
        <f>K60-K68-K70</f>
      </c>
      <c r="L71" s="26">
        <f>L60-L68-L70</f>
      </c>
    </row>
    <row r="72" hidden="1" spans="2:12" x14ac:dyDescent="0.25" outlineLevel="1" collapsed="1">
      <c r="B72" s="19" t="s">
        <v>216</v>
      </c>
      <c r="C72" s="16" t="s">
        <v>65</v>
      </c>
      <c r="E72" s="32">
        <f>Junior_0</f>
      </c>
      <c r="F72" s="26">
        <f>F61+F65</f>
      </c>
      <c r="G72" s="26">
        <f>G61+G65</f>
      </c>
      <c r="H72" s="26">
        <f>H61+H65</f>
      </c>
      <c r="I72" s="26">
        <f>I61+I65</f>
      </c>
      <c r="J72" s="26">
        <f>J61+J65</f>
      </c>
      <c r="K72" s="26">
        <f>K61+K65</f>
      </c>
      <c r="L72" s="26">
        <f>L61+L65</f>
      </c>
    </row>
    <row r="73" hidden="1" spans="2:12" x14ac:dyDescent="0.25" outlineLevel="1" collapsed="1">
      <c r="B73" s="19" t="s">
        <v>217</v>
      </c>
      <c r="C73" s="16" t="s">
        <v>65</v>
      </c>
      <c r="E73" s="26">
        <f>E71+E72-E74</f>
      </c>
      <c r="F73" s="26">
        <f>F71+F72-F74</f>
      </c>
      <c r="G73" s="26">
        <f>G71+G72-G74</f>
      </c>
      <c r="H73" s="26">
        <f>H71+H72-H74</f>
      </c>
      <c r="I73" s="26">
        <f>I71+I72-I74</f>
      </c>
      <c r="J73" s="26">
        <f>J71+J72-J74</f>
      </c>
      <c r="K73" s="26">
        <f>K71+K72-K74</f>
      </c>
      <c r="L73" s="26">
        <f>L71+L72-L74</f>
      </c>
    </row>
    <row r="74" hidden="1" spans="2:12" x14ac:dyDescent="0.25" outlineLevel="1" collapsed="1">
      <c r="B74" s="19" t="s">
        <v>218</v>
      </c>
      <c r="C74" s="16" t="s">
        <v>65</v>
      </c>
      <c r="E74" s="32">
        <f>Cash_0</f>
      </c>
      <c r="F74" s="26">
        <f>F62+F69-F70</f>
      </c>
      <c r="G74" s="26">
        <f>G62+G69-G70</f>
      </c>
      <c r="H74" s="26">
        <f>H62+H69-H70</f>
      </c>
      <c r="I74" s="26">
        <f>I62+I69-I70</f>
      </c>
      <c r="J74" s="26">
        <f>J62+J69-J70</f>
      </c>
      <c r="K74" s="26">
        <f>K62+K69-K70</f>
      </c>
      <c r="L74" s="26">
        <f>L62+L69-L70</f>
      </c>
    </row>
    <row r="75" hidden="1" spans="2:2" x14ac:dyDescent="0.25" outlineLevel="1" collapsed="1">
      <c r="B75" s="47">
        <f>"Column "&amp;"H"&amp;": senior debt "&amp;FIXED(H$15,1)&amp;"x EBITDA"</f>
      </c>
    </row>
    <row r="76" hidden="1" spans="2:12" x14ac:dyDescent="0.25" outlineLevel="1" collapsed="1">
      <c r="B76" s="19" t="s">
        <v>209</v>
      </c>
      <c r="C76" s="16" t="s">
        <v>65</v>
      </c>
      <c r="F76" s="26">
        <f>E87</f>
      </c>
      <c r="G76" s="26">
        <f>F87</f>
      </c>
      <c r="H76" s="26">
        <f>G87</f>
      </c>
      <c r="I76" s="26">
        <f>H87</f>
      </c>
      <c r="J76" s="26">
        <f>I87</f>
      </c>
      <c r="K76" s="26">
        <f>J87</f>
      </c>
      <c r="L76" s="26">
        <f>K87</f>
      </c>
    </row>
    <row r="77" hidden="1" spans="2:12" x14ac:dyDescent="0.25" outlineLevel="1" collapsed="1">
      <c r="B77" s="19" t="s">
        <v>210</v>
      </c>
      <c r="C77" s="16" t="s">
        <v>65</v>
      </c>
      <c r="F77" s="26">
        <f>E88</f>
      </c>
      <c r="G77" s="26">
        <f>F88</f>
      </c>
      <c r="H77" s="26">
        <f>G88</f>
      </c>
      <c r="I77" s="26">
        <f>H88</f>
      </c>
      <c r="J77" s="26">
        <f>I88</f>
      </c>
      <c r="K77" s="26">
        <f>J88</f>
      </c>
      <c r="L77" s="26">
        <f>K88</f>
      </c>
    </row>
    <row r="78" hidden="1" spans="2:12" x14ac:dyDescent="0.25" outlineLevel="1" collapsed="1">
      <c r="B78" s="19" t="s">
        <v>211</v>
      </c>
      <c r="C78" s="16" t="s">
        <v>65</v>
      </c>
      <c r="F78" s="26">
        <f>E90</f>
      </c>
      <c r="G78" s="26">
        <f>F90</f>
      </c>
      <c r="H78" s="26">
        <f>G90</f>
      </c>
      <c r="I78" s="26">
        <f>H90</f>
      </c>
      <c r="J78" s="26">
        <f>I90</f>
      </c>
      <c r="K78" s="26">
        <f>J90</f>
      </c>
      <c r="L78" s="26">
        <f>K90</f>
      </c>
    </row>
    <row r="79" hidden="1" spans="2:12" x14ac:dyDescent="0.25" outlineLevel="1" collapsed="1">
      <c r="B79" s="19" t="s">
        <v>212</v>
      </c>
      <c r="C79" s="16" t="s">
        <v>65</v>
      </c>
      <c r="F79" s="26">
        <f>'Debt Schedule'!F8*F76</f>
      </c>
      <c r="G79" s="26">
        <f>'Debt Schedule'!G8*G76</f>
      </c>
      <c r="H79" s="26">
        <f>'Debt Schedule'!H8*H76</f>
      </c>
      <c r="I79" s="26">
        <f>'Debt Schedule'!I8*I76</f>
      </c>
      <c r="J79" s="26">
        <f>'Debt Schedule'!J8*J76</f>
      </c>
      <c r="K79" s="26">
        <f>'Debt Schedule'!K8*K76</f>
      </c>
      <c r="L79" s="26">
        <f>'Debt Schedule'!L8*L76</f>
      </c>
    </row>
    <row r="80" hidden="1" spans="2:12" x14ac:dyDescent="0.25" outlineLevel="1" collapsed="1">
      <c r="B80" s="19" t="s">
        <v>213</v>
      </c>
      <c r="C80" s="16" t="s">
        <v>65</v>
      </c>
      <c r="F80" s="26">
        <f>'Debt Schedule'!F9*F77</f>
      </c>
      <c r="G80" s="26">
        <f>'Debt Schedule'!G9*G77</f>
      </c>
      <c r="H80" s="26">
        <f>'Debt Schedule'!H9*H77</f>
      </c>
      <c r="I80" s="26">
        <f>'Debt Schedule'!I9*I77</f>
      </c>
      <c r="J80" s="26">
        <f>'Debt Schedule'!J9*J77</f>
      </c>
      <c r="K80" s="26">
        <f>'Debt Schedule'!K9*K77</f>
      </c>
      <c r="L80" s="26">
        <f>'Debt Schedule'!L9*L77</f>
      </c>
    </row>
    <row r="81" hidden="1" spans="2:12" x14ac:dyDescent="0.25" outlineLevel="1" collapsed="1">
      <c r="B81" s="19" t="s">
        <v>214</v>
      </c>
      <c r="C81" s="16" t="s">
        <v>65</v>
      </c>
      <c r="F81" s="26">
        <f>IF(Junior_Payment="PIK",F80,0)</f>
      </c>
      <c r="G81" s="26">
        <f>IF(Junior_Payment="PIK",G80,0)</f>
      </c>
      <c r="H81" s="26">
        <f>IF(Junior_Payment="PIK",H80,0)</f>
      </c>
      <c r="I81" s="26">
        <f>IF(Junior_Payment="PIK",I80,0)</f>
      </c>
      <c r="J81" s="26">
        <f>IF(Junior_Payment="PIK",J80,0)</f>
      </c>
      <c r="K81" s="26">
        <f>IF(Junior_Payment="PIK",K80,0)</f>
      </c>
      <c r="L81" s="26">
        <f>IF(Junior_Payment="PIK",L80,0)</f>
      </c>
    </row>
    <row r="82" hidden="1" spans="2:12" x14ac:dyDescent="0.25" outlineLevel="1" collapsed="1">
      <c r="B82" s="19" t="s">
        <v>155</v>
      </c>
      <c r="C82" s="16" t="s">
        <v>65</v>
      </c>
      <c r="F82" s="26">
        <f>Cash_Rate*MAX(0,F78)</f>
      </c>
      <c r="G82" s="26">
        <f>Cash_Rate*MAX(0,G78)</f>
      </c>
      <c r="H82" s="26">
        <f>Cash_Rate*MAX(0,H78)</f>
      </c>
      <c r="I82" s="26">
        <f>Cash_Rate*MAX(0,I78)</f>
      </c>
      <c r="J82" s="26">
        <f>Cash_Rate*MAX(0,J78)</f>
      </c>
      <c r="K82" s="26">
        <f>Cash_Rate*MAX(0,K78)</f>
      </c>
      <c r="L82" s="26">
        <f>Cash_Rate*MAX(0,L78)</f>
      </c>
    </row>
    <row r="83" hidden="1" spans="2:12" x14ac:dyDescent="0.25" outlineLevel="1" collapsed="1">
      <c r="B83" s="19" t="s">
        <v>157</v>
      </c>
      <c r="C83" s="16" t="s">
        <v>65</v>
      </c>
      <c r="F83" s="26">
        <f>Tax_Rate*MAX(0,Operations!F15+F82-IF(Interest_Deductible="Yes",F79+F80,0))</f>
      </c>
      <c r="G83" s="26">
        <f>Tax_Rate*MAX(0,Operations!G15+G82-IF(Interest_Deductible="Yes",G79+G80,0))</f>
      </c>
      <c r="H83" s="26">
        <f>Tax_Rate*MAX(0,Operations!H15+H82-IF(Interest_Deductible="Yes",H79+H80,0))</f>
      </c>
      <c r="I83" s="26">
        <f>Tax_Rate*MAX(0,Operations!I15+I82-IF(Interest_Deductible="Yes",I79+I80,0))</f>
      </c>
      <c r="J83" s="26">
        <f>Tax_Rate*MAX(0,Operations!J15+J82-IF(Interest_Deductible="Yes",J79+J80,0))</f>
      </c>
      <c r="K83" s="26">
        <f>Tax_Rate*MAX(0,Operations!K15+K82-IF(Interest_Deductible="Yes",K79+K80,0))</f>
      </c>
      <c r="L83" s="26">
        <f>Tax_Rate*MAX(0,Operations!L15+L82-IF(Interest_Deductible="Yes",L79+L80,0))</f>
      </c>
    </row>
    <row r="84" hidden="1" spans="2:12" x14ac:dyDescent="0.25" outlineLevel="1" collapsed="1">
      <c r="B84" s="19" t="s">
        <v>105</v>
      </c>
      <c r="C84" s="16" t="s">
        <v>65</v>
      </c>
      <c r="F84" s="26">
        <f>MIN(F76,Senior_Amort*$E$87)</f>
      </c>
      <c r="G84" s="26">
        <f>MIN(G76,Senior_Amort*$E$87)</f>
      </c>
      <c r="H84" s="26">
        <f>MIN(H76,Senior_Amort*$E$87)</f>
      </c>
      <c r="I84" s="26">
        <f>MIN(I76,Senior_Amort*$E$87)</f>
      </c>
      <c r="J84" s="26">
        <f>MIN(J76,Senior_Amort*$E$87)</f>
      </c>
      <c r="K84" s="26">
        <f>MIN(K76,Senior_Amort*$E$87)</f>
      </c>
      <c r="L84" s="26">
        <f>MIN(L76,Senior_Amort*$E$87)</f>
      </c>
    </row>
    <row r="85" hidden="1" spans="2:12" x14ac:dyDescent="0.25" outlineLevel="1" collapsed="1">
      <c r="B85" s="19" t="s">
        <v>165</v>
      </c>
      <c r="C85" s="16" t="s">
        <v>65</v>
      </c>
      <c r="F85" s="26">
        <f>Operations!F13-F83-Operations!F16-Operations!F17-(F79+(F80-F81)-F82)-F84</f>
      </c>
      <c r="G85" s="26">
        <f>Operations!G13-G83-Operations!G16-Operations!G17-(G79+(G80-G81)-G82)-G84</f>
      </c>
      <c r="H85" s="26">
        <f>Operations!H13-H83-Operations!H16-Operations!H17-(H79+(H80-H81)-H82)-H84</f>
      </c>
      <c r="I85" s="26">
        <f>Operations!I13-I83-Operations!I16-Operations!I17-(I79+(I80-I81)-I82)-I84</f>
      </c>
      <c r="J85" s="26">
        <f>Operations!J13-J83-Operations!J16-Operations!J17-(J79+(J80-J81)-J82)-J84</f>
      </c>
      <c r="K85" s="26">
        <f>Operations!K13-K83-Operations!K16-Operations!K17-(K79+(K80-K81)-K82)-K84</f>
      </c>
      <c r="L85" s="26">
        <f>Operations!L13-L83-Operations!L16-Operations!L17-(L79+(L80-L81)-L82)-L84</f>
      </c>
    </row>
    <row r="86" hidden="1" spans="2:12" x14ac:dyDescent="0.25" outlineLevel="1" collapsed="1">
      <c r="B86" s="19" t="s">
        <v>107</v>
      </c>
      <c r="C86" s="16" t="s">
        <v>65</v>
      </c>
      <c r="F86" s="26">
        <f>MIN(F76-F84,Sweep_Share*MAX(0,F78+F85-Min_Cash))</f>
      </c>
      <c r="G86" s="26">
        <f>MIN(G76-G84,Sweep_Share*MAX(0,G78+G85-Min_Cash))</f>
      </c>
      <c r="H86" s="26">
        <f>MIN(H76-H84,Sweep_Share*MAX(0,H78+H85-Min_Cash))</f>
      </c>
      <c r="I86" s="26">
        <f>MIN(I76-I84,Sweep_Share*MAX(0,I78+I85-Min_Cash))</f>
      </c>
      <c r="J86" s="26">
        <f>MIN(J76-J84,Sweep_Share*MAX(0,J78+J85-Min_Cash))</f>
      </c>
      <c r="K86" s="26">
        <f>MIN(K76-K84,Sweep_Share*MAX(0,K78+K85-Min_Cash))</f>
      </c>
      <c r="L86" s="26">
        <f>MIN(L76-L84,Sweep_Share*MAX(0,L78+L85-Min_Cash))</f>
      </c>
    </row>
    <row r="87" hidden="1" spans="2:12" x14ac:dyDescent="0.25" outlineLevel="1" collapsed="1">
      <c r="B87" s="19" t="s">
        <v>215</v>
      </c>
      <c r="C87" s="16" t="s">
        <v>65</v>
      </c>
      <c r="E87" s="26">
        <f>H$22</f>
      </c>
      <c r="F87" s="26">
        <f>F76-F84-F86</f>
      </c>
      <c r="G87" s="26">
        <f>G76-G84-G86</f>
      </c>
      <c r="H87" s="26">
        <f>H76-H84-H86</f>
      </c>
      <c r="I87" s="26">
        <f>I76-I84-I86</f>
      </c>
      <c r="J87" s="26">
        <f>J76-J84-J86</f>
      </c>
      <c r="K87" s="26">
        <f>K76-K84-K86</f>
      </c>
      <c r="L87" s="26">
        <f>L76-L84-L86</f>
      </c>
    </row>
    <row r="88" hidden="1" spans="2:12" x14ac:dyDescent="0.25" outlineLevel="1" collapsed="1">
      <c r="B88" s="19" t="s">
        <v>216</v>
      </c>
      <c r="C88" s="16" t="s">
        <v>65</v>
      </c>
      <c r="E88" s="32">
        <f>Junior_0</f>
      </c>
      <c r="F88" s="26">
        <f>F77+F81</f>
      </c>
      <c r="G88" s="26">
        <f>G77+G81</f>
      </c>
      <c r="H88" s="26">
        <f>H77+H81</f>
      </c>
      <c r="I88" s="26">
        <f>I77+I81</f>
      </c>
      <c r="J88" s="26">
        <f>J77+J81</f>
      </c>
      <c r="K88" s="26">
        <f>K77+K81</f>
      </c>
      <c r="L88" s="26">
        <f>L77+L81</f>
      </c>
    </row>
    <row r="89" hidden="1" spans="2:12" x14ac:dyDescent="0.25" outlineLevel="1" collapsed="1">
      <c r="B89" s="19" t="s">
        <v>217</v>
      </c>
      <c r="C89" s="16" t="s">
        <v>65</v>
      </c>
      <c r="E89" s="26">
        <f>E87+E88-E90</f>
      </c>
      <c r="F89" s="26">
        <f>F87+F88-F90</f>
      </c>
      <c r="G89" s="26">
        <f>G87+G88-G90</f>
      </c>
      <c r="H89" s="26">
        <f>H87+H88-H90</f>
      </c>
      <c r="I89" s="26">
        <f>I87+I88-I90</f>
      </c>
      <c r="J89" s="26">
        <f>J87+J88-J90</f>
      </c>
      <c r="K89" s="26">
        <f>K87+K88-K90</f>
      </c>
      <c r="L89" s="26">
        <f>L87+L88-L90</f>
      </c>
    </row>
    <row r="90" hidden="1" spans="2:12" x14ac:dyDescent="0.25" outlineLevel="1" collapsed="1">
      <c r="B90" s="19" t="s">
        <v>218</v>
      </c>
      <c r="C90" s="16" t="s">
        <v>65</v>
      </c>
      <c r="E90" s="32">
        <f>Cash_0</f>
      </c>
      <c r="F90" s="26">
        <f>F78+F85-F86</f>
      </c>
      <c r="G90" s="26">
        <f>G78+G85-G86</f>
      </c>
      <c r="H90" s="26">
        <f>H78+H85-H86</f>
      </c>
      <c r="I90" s="26">
        <f>I78+I85-I86</f>
      </c>
      <c r="J90" s="26">
        <f>J78+J85-J86</f>
      </c>
      <c r="K90" s="26">
        <f>K78+K85-K86</f>
      </c>
      <c r="L90" s="26">
        <f>L78+L85-L86</f>
      </c>
    </row>
    <row r="91" hidden="1" spans="2:2" x14ac:dyDescent="0.25" outlineLevel="1" collapsed="1">
      <c r="B91" s="47">
        <f>"Column "&amp;"I"&amp;": senior debt "&amp;FIXED(I$15,1)&amp;"x EBITDA"</f>
      </c>
    </row>
    <row r="92" hidden="1" spans="2:12" x14ac:dyDescent="0.25" outlineLevel="1" collapsed="1">
      <c r="B92" s="19" t="s">
        <v>209</v>
      </c>
      <c r="C92" s="16" t="s">
        <v>65</v>
      </c>
      <c r="F92" s="26">
        <f>E103</f>
      </c>
      <c r="G92" s="26">
        <f>F103</f>
      </c>
      <c r="H92" s="26">
        <f>G103</f>
      </c>
      <c r="I92" s="26">
        <f>H103</f>
      </c>
      <c r="J92" s="26">
        <f>I103</f>
      </c>
      <c r="K92" s="26">
        <f>J103</f>
      </c>
      <c r="L92" s="26">
        <f>K103</f>
      </c>
    </row>
    <row r="93" hidden="1" spans="2:12" x14ac:dyDescent="0.25" outlineLevel="1" collapsed="1">
      <c r="B93" s="19" t="s">
        <v>210</v>
      </c>
      <c r="C93" s="16" t="s">
        <v>65</v>
      </c>
      <c r="F93" s="26">
        <f>E104</f>
      </c>
      <c r="G93" s="26">
        <f>F104</f>
      </c>
      <c r="H93" s="26">
        <f>G104</f>
      </c>
      <c r="I93" s="26">
        <f>H104</f>
      </c>
      <c r="J93" s="26">
        <f>I104</f>
      </c>
      <c r="K93" s="26">
        <f>J104</f>
      </c>
      <c r="L93" s="26">
        <f>K104</f>
      </c>
    </row>
    <row r="94" hidden="1" spans="2:12" x14ac:dyDescent="0.25" outlineLevel="1" collapsed="1">
      <c r="B94" s="19" t="s">
        <v>211</v>
      </c>
      <c r="C94" s="16" t="s">
        <v>65</v>
      </c>
      <c r="F94" s="26">
        <f>E106</f>
      </c>
      <c r="G94" s="26">
        <f>F106</f>
      </c>
      <c r="H94" s="26">
        <f>G106</f>
      </c>
      <c r="I94" s="26">
        <f>H106</f>
      </c>
      <c r="J94" s="26">
        <f>I106</f>
      </c>
      <c r="K94" s="26">
        <f>J106</f>
      </c>
      <c r="L94" s="26">
        <f>K106</f>
      </c>
    </row>
    <row r="95" hidden="1" spans="2:12" x14ac:dyDescent="0.25" outlineLevel="1" collapsed="1">
      <c r="B95" s="19" t="s">
        <v>212</v>
      </c>
      <c r="C95" s="16" t="s">
        <v>65</v>
      </c>
      <c r="F95" s="26">
        <f>'Debt Schedule'!F8*F92</f>
      </c>
      <c r="G95" s="26">
        <f>'Debt Schedule'!G8*G92</f>
      </c>
      <c r="H95" s="26">
        <f>'Debt Schedule'!H8*H92</f>
      </c>
      <c r="I95" s="26">
        <f>'Debt Schedule'!I8*I92</f>
      </c>
      <c r="J95" s="26">
        <f>'Debt Schedule'!J8*J92</f>
      </c>
      <c r="K95" s="26">
        <f>'Debt Schedule'!K8*K92</f>
      </c>
      <c r="L95" s="26">
        <f>'Debt Schedule'!L8*L92</f>
      </c>
    </row>
    <row r="96" hidden="1" spans="2:12" x14ac:dyDescent="0.25" outlineLevel="1" collapsed="1">
      <c r="B96" s="19" t="s">
        <v>213</v>
      </c>
      <c r="C96" s="16" t="s">
        <v>65</v>
      </c>
      <c r="F96" s="26">
        <f>'Debt Schedule'!F9*F93</f>
      </c>
      <c r="G96" s="26">
        <f>'Debt Schedule'!G9*G93</f>
      </c>
      <c r="H96" s="26">
        <f>'Debt Schedule'!H9*H93</f>
      </c>
      <c r="I96" s="26">
        <f>'Debt Schedule'!I9*I93</f>
      </c>
      <c r="J96" s="26">
        <f>'Debt Schedule'!J9*J93</f>
      </c>
      <c r="K96" s="26">
        <f>'Debt Schedule'!K9*K93</f>
      </c>
      <c r="L96" s="26">
        <f>'Debt Schedule'!L9*L93</f>
      </c>
    </row>
    <row r="97" hidden="1" spans="2:12" x14ac:dyDescent="0.25" outlineLevel="1" collapsed="1">
      <c r="B97" s="19" t="s">
        <v>214</v>
      </c>
      <c r="C97" s="16" t="s">
        <v>65</v>
      </c>
      <c r="F97" s="26">
        <f>IF(Junior_Payment="PIK",F96,0)</f>
      </c>
      <c r="G97" s="26">
        <f>IF(Junior_Payment="PIK",G96,0)</f>
      </c>
      <c r="H97" s="26">
        <f>IF(Junior_Payment="PIK",H96,0)</f>
      </c>
      <c r="I97" s="26">
        <f>IF(Junior_Payment="PIK",I96,0)</f>
      </c>
      <c r="J97" s="26">
        <f>IF(Junior_Payment="PIK",J96,0)</f>
      </c>
      <c r="K97" s="26">
        <f>IF(Junior_Payment="PIK",K96,0)</f>
      </c>
      <c r="L97" s="26">
        <f>IF(Junior_Payment="PIK",L96,0)</f>
      </c>
    </row>
    <row r="98" hidden="1" spans="2:12" x14ac:dyDescent="0.25" outlineLevel="1" collapsed="1">
      <c r="B98" s="19" t="s">
        <v>155</v>
      </c>
      <c r="C98" s="16" t="s">
        <v>65</v>
      </c>
      <c r="F98" s="26">
        <f>Cash_Rate*MAX(0,F94)</f>
      </c>
      <c r="G98" s="26">
        <f>Cash_Rate*MAX(0,G94)</f>
      </c>
      <c r="H98" s="26">
        <f>Cash_Rate*MAX(0,H94)</f>
      </c>
      <c r="I98" s="26">
        <f>Cash_Rate*MAX(0,I94)</f>
      </c>
      <c r="J98" s="26">
        <f>Cash_Rate*MAX(0,J94)</f>
      </c>
      <c r="K98" s="26">
        <f>Cash_Rate*MAX(0,K94)</f>
      </c>
      <c r="L98" s="26">
        <f>Cash_Rate*MAX(0,L94)</f>
      </c>
    </row>
    <row r="99" hidden="1" spans="2:12" x14ac:dyDescent="0.25" outlineLevel="1" collapsed="1">
      <c r="B99" s="19" t="s">
        <v>157</v>
      </c>
      <c r="C99" s="16" t="s">
        <v>65</v>
      </c>
      <c r="F99" s="26">
        <f>Tax_Rate*MAX(0,Operations!F15+F98-IF(Interest_Deductible="Yes",F95+F96,0))</f>
      </c>
      <c r="G99" s="26">
        <f>Tax_Rate*MAX(0,Operations!G15+G98-IF(Interest_Deductible="Yes",G95+G96,0))</f>
      </c>
      <c r="H99" s="26">
        <f>Tax_Rate*MAX(0,Operations!H15+H98-IF(Interest_Deductible="Yes",H95+H96,0))</f>
      </c>
      <c r="I99" s="26">
        <f>Tax_Rate*MAX(0,Operations!I15+I98-IF(Interest_Deductible="Yes",I95+I96,0))</f>
      </c>
      <c r="J99" s="26">
        <f>Tax_Rate*MAX(0,Operations!J15+J98-IF(Interest_Deductible="Yes",J95+J96,0))</f>
      </c>
      <c r="K99" s="26">
        <f>Tax_Rate*MAX(0,Operations!K15+K98-IF(Interest_Deductible="Yes",K95+K96,0))</f>
      </c>
      <c r="L99" s="26">
        <f>Tax_Rate*MAX(0,Operations!L15+L98-IF(Interest_Deductible="Yes",L95+L96,0))</f>
      </c>
    </row>
    <row r="100" hidden="1" spans="2:12" x14ac:dyDescent="0.25" outlineLevel="1" collapsed="1">
      <c r="B100" s="19" t="s">
        <v>105</v>
      </c>
      <c r="C100" s="16" t="s">
        <v>65</v>
      </c>
      <c r="F100" s="26">
        <f>MIN(F92,Senior_Amort*$E$103)</f>
      </c>
      <c r="G100" s="26">
        <f>MIN(G92,Senior_Amort*$E$103)</f>
      </c>
      <c r="H100" s="26">
        <f>MIN(H92,Senior_Amort*$E$103)</f>
      </c>
      <c r="I100" s="26">
        <f>MIN(I92,Senior_Amort*$E$103)</f>
      </c>
      <c r="J100" s="26">
        <f>MIN(J92,Senior_Amort*$E$103)</f>
      </c>
      <c r="K100" s="26">
        <f>MIN(K92,Senior_Amort*$E$103)</f>
      </c>
      <c r="L100" s="26">
        <f>MIN(L92,Senior_Amort*$E$103)</f>
      </c>
    </row>
    <row r="101" hidden="1" spans="2:12" x14ac:dyDescent="0.25" outlineLevel="1" collapsed="1">
      <c r="B101" s="19" t="s">
        <v>165</v>
      </c>
      <c r="C101" s="16" t="s">
        <v>65</v>
      </c>
      <c r="F101" s="26">
        <f>Operations!F13-F99-Operations!F16-Operations!F17-(F95+(F96-F97)-F98)-F100</f>
      </c>
      <c r="G101" s="26">
        <f>Operations!G13-G99-Operations!G16-Operations!G17-(G95+(G96-G97)-G98)-G100</f>
      </c>
      <c r="H101" s="26">
        <f>Operations!H13-H99-Operations!H16-Operations!H17-(H95+(H96-H97)-H98)-H100</f>
      </c>
      <c r="I101" s="26">
        <f>Operations!I13-I99-Operations!I16-Operations!I17-(I95+(I96-I97)-I98)-I100</f>
      </c>
      <c r="J101" s="26">
        <f>Operations!J13-J99-Operations!J16-Operations!J17-(J95+(J96-J97)-J98)-J100</f>
      </c>
      <c r="K101" s="26">
        <f>Operations!K13-K99-Operations!K16-Operations!K17-(K95+(K96-K97)-K98)-K100</f>
      </c>
      <c r="L101" s="26">
        <f>Operations!L13-L99-Operations!L16-Operations!L17-(L95+(L96-L97)-L98)-L100</f>
      </c>
    </row>
    <row r="102" hidden="1" spans="2:12" x14ac:dyDescent="0.25" outlineLevel="1" collapsed="1">
      <c r="B102" s="19" t="s">
        <v>107</v>
      </c>
      <c r="C102" s="16" t="s">
        <v>65</v>
      </c>
      <c r="F102" s="26">
        <f>MIN(F92-F100,Sweep_Share*MAX(0,F94+F101-Min_Cash))</f>
      </c>
      <c r="G102" s="26">
        <f>MIN(G92-G100,Sweep_Share*MAX(0,G94+G101-Min_Cash))</f>
      </c>
      <c r="H102" s="26">
        <f>MIN(H92-H100,Sweep_Share*MAX(0,H94+H101-Min_Cash))</f>
      </c>
      <c r="I102" s="26">
        <f>MIN(I92-I100,Sweep_Share*MAX(0,I94+I101-Min_Cash))</f>
      </c>
      <c r="J102" s="26">
        <f>MIN(J92-J100,Sweep_Share*MAX(0,J94+J101-Min_Cash))</f>
      </c>
      <c r="K102" s="26">
        <f>MIN(K92-K100,Sweep_Share*MAX(0,K94+K101-Min_Cash))</f>
      </c>
      <c r="L102" s="26">
        <f>MIN(L92-L100,Sweep_Share*MAX(0,L94+L101-Min_Cash))</f>
      </c>
    </row>
    <row r="103" hidden="1" spans="2:12" x14ac:dyDescent="0.25" outlineLevel="1" collapsed="1">
      <c r="B103" s="19" t="s">
        <v>215</v>
      </c>
      <c r="C103" s="16" t="s">
        <v>65</v>
      </c>
      <c r="E103" s="26">
        <f>I$22</f>
      </c>
      <c r="F103" s="26">
        <f>F92-F100-F102</f>
      </c>
      <c r="G103" s="26">
        <f>G92-G100-G102</f>
      </c>
      <c r="H103" s="26">
        <f>H92-H100-H102</f>
      </c>
      <c r="I103" s="26">
        <f>I92-I100-I102</f>
      </c>
      <c r="J103" s="26">
        <f>J92-J100-J102</f>
      </c>
      <c r="K103" s="26">
        <f>K92-K100-K102</f>
      </c>
      <c r="L103" s="26">
        <f>L92-L100-L102</f>
      </c>
    </row>
    <row r="104" hidden="1" spans="2:12" x14ac:dyDescent="0.25" outlineLevel="1" collapsed="1">
      <c r="B104" s="19" t="s">
        <v>216</v>
      </c>
      <c r="C104" s="16" t="s">
        <v>65</v>
      </c>
      <c r="E104" s="32">
        <f>Junior_0</f>
      </c>
      <c r="F104" s="26">
        <f>F93+F97</f>
      </c>
      <c r="G104" s="26">
        <f>G93+G97</f>
      </c>
      <c r="H104" s="26">
        <f>H93+H97</f>
      </c>
      <c r="I104" s="26">
        <f>I93+I97</f>
      </c>
      <c r="J104" s="26">
        <f>J93+J97</f>
      </c>
      <c r="K104" s="26">
        <f>K93+K97</f>
      </c>
      <c r="L104" s="26">
        <f>L93+L97</f>
      </c>
    </row>
    <row r="105" hidden="1" spans="2:12" x14ac:dyDescent="0.25" outlineLevel="1" collapsed="1">
      <c r="B105" s="19" t="s">
        <v>217</v>
      </c>
      <c r="C105" s="16" t="s">
        <v>65</v>
      </c>
      <c r="E105" s="26">
        <f>E103+E104-E106</f>
      </c>
      <c r="F105" s="26">
        <f>F103+F104-F106</f>
      </c>
      <c r="G105" s="26">
        <f>G103+G104-G106</f>
      </c>
      <c r="H105" s="26">
        <f>H103+H104-H106</f>
      </c>
      <c r="I105" s="26">
        <f>I103+I104-I106</f>
      </c>
      <c r="J105" s="26">
        <f>J103+J104-J106</f>
      </c>
      <c r="K105" s="26">
        <f>K103+K104-K106</f>
      </c>
      <c r="L105" s="26">
        <f>L103+L104-L106</f>
      </c>
    </row>
    <row r="106" hidden="1" spans="2:12" x14ac:dyDescent="0.25" outlineLevel="1" collapsed="1">
      <c r="B106" s="19" t="s">
        <v>218</v>
      </c>
      <c r="C106" s="16" t="s">
        <v>65</v>
      </c>
      <c r="E106" s="32">
        <f>Cash_0</f>
      </c>
      <c r="F106" s="26">
        <f>F94+F101-F102</f>
      </c>
      <c r="G106" s="26">
        <f>G94+G101-G102</f>
      </c>
      <c r="H106" s="26">
        <f>H94+H101-H102</f>
      </c>
      <c r="I106" s="26">
        <f>I94+I101-I102</f>
      </c>
      <c r="J106" s="26">
        <f>J94+J101-J102</f>
      </c>
      <c r="K106" s="26">
        <f>K94+K101-K102</f>
      </c>
      <c r="L106" s="26">
        <f>L94+L101-L102</f>
      </c>
    </row>
  </sheetData>
  <mergeCells count="2">
    <mergeCell ref="B7:B10"/>
    <mergeCell ref="B16:B20"/>
  </mergeCells>
  <conditionalFormatting sqref="E7:I11">
    <cfRule type="expression" dxfId="3" priority="1">
      <formula>AND(ISNUMBER(E7),E7&gt;=Target_IRR)</formula>
    </cfRule>
    <cfRule type="expression" dxfId="4" priority="2">
      <formula>AND(ISNUMBER(E7),E7&lt;Target_IRR)</formula>
    </cfRule>
  </conditionalFormatting>
  <conditionalFormatting sqref="E16:I20">
    <cfRule type="expression" dxfId="5" priority="1">
      <formula>AND(ISNUMBER(E16),E16&gt;=Target_IRR)</formula>
    </cfRule>
    <cfRule type="expression" dxfId="6" priority="2">
      <formula>AND(ISNUMBER(E16),E16&lt;Target_IRR)</formula>
    </cfRule>
  </conditionalFormatting>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G33"/>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 style="1" customWidth="1"/>
    <col min="3" max="3" width="52" style="1" customWidth="1"/>
    <col min="4" max="4" width="13" style="1" customWidth="1"/>
    <col min="5" max="5" width="10" style="1" customWidth="1"/>
    <col min="6" max="6" width="44" style="1" customWidth="1"/>
    <col min="7" max="7" width="80" style="1" customWidth="1"/>
  </cols>
  <sheetData>
    <row r="1" ht="21" customHeight="1" spans="2:7" x14ac:dyDescent="0.25">
      <c r="B1" s="2" t="s">
        <v>34</v>
      </c>
      <c r="C1" s="3"/>
      <c r="D1" s="3"/>
      <c r="E1" s="3"/>
      <c r="F1" s="3"/>
      <c r="G1" s="3"/>
    </row>
    <row r="2" ht="16" customHeight="1" spans="2:2" x14ac:dyDescent="0.25">
      <c r="B2" s="4">
        <f>IF(Company_Name="","Company not specified",Company_Name)&amp;"   |   CHF m unless stated otherwise   |   Holding period: "&amp;Holding_N&amp;" years   |   Checks: "&amp;Check_Status</f>
      </c>
    </row>
    <row r="4" ht="18" customHeight="1" spans="2:7" x14ac:dyDescent="0.25">
      <c r="B4" s="5" t="s">
        <v>219</v>
      </c>
      <c r="C4" s="6"/>
      <c r="D4" s="6"/>
      <c r="E4" s="6"/>
      <c r="F4" s="6"/>
      <c r="G4" s="6"/>
    </row>
    <row r="5" spans="3:4" x14ac:dyDescent="0.25">
      <c r="C5" s="13" t="s">
        <v>220</v>
      </c>
      <c r="D5" s="29">
        <f>IF(AND(ISNUMBER(Holding_Period),IF(Entry_Method="Amount",ISNUMBER(Entry_Amount),ISNUMBER(Entry_Multiple)),OR(Exit_Mode&lt;&gt;"Own multiple",ISNUMBER(Exit_Multiple)),IF(Op_Build="EBITDA",AND(ISNUMBER(EBITDA_Input),ISNUMBER(EBITDA_Growth),ISNUMBER(DA_EBITDA),ISNUMBER(Capex_EBITDA)),AND(ISNUMBER(Revenue_0),ISNUMBER(Margin_0),ISNUMBER(DA_Revenue),ISNUMBER(Capex_Revenue))),ISNUMBER(Senior_Multiple),ISNUMBER(Senior_Margin),ISNUMBER(Sweep_Share),ISNUMBER(Tax_Rate),ISNUMBER(Target_IRR),SARON_Count&gt;=Holding_N),1,0)</f>
      </c>
    </row>
    <row r="6" spans="3:4" x14ac:dyDescent="0.25">
      <c r="C6" s="13" t="s">
        <v>221</v>
      </c>
      <c r="D6" s="29">
        <f>SUMPRODUCT(ISNUMBER(SARON_Path)*(Year_Index&lt;=Holding_N))</f>
      </c>
    </row>
    <row r="8" ht="18" customHeight="1" spans="2:7" x14ac:dyDescent="0.25">
      <c r="B8" s="5" t="s">
        <v>34</v>
      </c>
      <c r="C8" s="6"/>
      <c r="D8" s="6"/>
      <c r="E8" s="6"/>
      <c r="F8" s="6"/>
      <c r="G8" s="6"/>
    </row>
    <row r="9" spans="2:7" x14ac:dyDescent="0.25">
      <c r="B9" s="48" t="s">
        <v>222</v>
      </c>
      <c r="C9" s="48" t="s">
        <v>223</v>
      </c>
      <c r="D9" s="49" t="s">
        <v>224</v>
      </c>
      <c r="E9" s="50" t="s">
        <v>225</v>
      </c>
      <c r="F9" s="48" t="s">
        <v>226</v>
      </c>
      <c r="G9" s="48" t="s">
        <v>227</v>
      </c>
    </row>
    <row r="10" spans="2:7" x14ac:dyDescent="0.25">
      <c r="B10" s="29">
        <f>1</f>
      </c>
      <c r="C10" s="13" t="s">
        <v>228</v>
      </c>
      <c r="D10" s="29">
        <f>Inputs_Complete</f>
      </c>
      <c r="E10" s="51">
        <f>IF(Inputs_Complete=1,"OK","MISSING")</f>
      </c>
      <c r="F10" s="52" t="s">
        <v>229</v>
      </c>
      <c r="G10" s="43">
        <f>IF(OR(E10="WARNING",E10="ERROR",E10="INFO",E10="MISSING"),"Fill in the blue cells on Inputs (SARON for every year of the holding period)","")</f>
      </c>
    </row>
    <row r="11" spans="2:7" x14ac:dyDescent="0.25">
      <c r="B11" s="29">
        <f>B10+1</f>
      </c>
      <c r="C11" s="13" t="s">
        <v>230</v>
      </c>
      <c r="D11" s="37">
        <f>Holding_Period</f>
      </c>
      <c r="E11" s="51">
        <f>IF(Inputs_Complete=0,"n/a",IF(AND(Holding_Period=ROUND(Holding_Period,0),Holding_Period&gt;=Min_Years,Holding_Period&lt;=Max_Years),"OK","ERROR"))</f>
      </c>
      <c r="F11" s="52" t="s">
        <v>231</v>
      </c>
      <c r="G11" s="43">
        <f>IF(OR(E11="WARNING",E11="ERROR",E11="INFO",E11="MISSING"),"Enter a whole number of years from 3 to 7","")</f>
      </c>
    </row>
    <row r="12" spans="2:7" x14ac:dyDescent="0.25">
      <c r="B12" s="29">
        <f>B11+1</f>
      </c>
      <c r="C12" s="13" t="s">
        <v>232</v>
      </c>
      <c r="D12" s="29">
        <f>IF(OR(Entry_Method="Multiple",Entry_Method="Amount"),0,1)+IF(OR(Exit_Mode="Same as entry",Exit_Mode="Own multiple"),0,1)+IF(OR(Op_Build="EBITDA",Op_Build="Revenue"),0,1)+IF(OR(Scenario="Bear",Scenario="Base",Scenario="Bull"),0,1)+IF(OR(SARON_Floor="Yes",SARON_Floor="No"),0,1)+IF(OR(Junior_Type="Fixed",Junior_Type="SARON"),0,1)+IF(OR(Junior_Payment="Cash",Junior_Payment="PIK"),0,1)+IF(OR(Interest_Deductible="Yes",Interest_Deductible="No"),0,1)</f>
      </c>
      <c r="E12" s="51">
        <f>IF(D12=0,"OK","ERROR")</f>
      </c>
      <c r="F12" s="52" t="s">
        <v>233</v>
      </c>
      <c r="G12" s="43">
        <f>IF(OR(E12="WARNING",E12="ERROR",E12="INFO",E12="MISSING"),"Choose the switches on Inputs from their lists","")</f>
      </c>
    </row>
    <row r="13" spans="2:7" x14ac:dyDescent="0.25">
      <c r="B13" s="29">
        <f>B12+1</f>
      </c>
      <c r="C13" s="13" t="s">
        <v>234</v>
      </c>
      <c r="D13" s="32">
        <f>EBITDA_0</f>
      </c>
      <c r="E13" s="51">
        <f>IF(Inputs_Complete=0,"n/a",IF(EBITDA_0&gt;0,"OK","ERROR"))</f>
      </c>
      <c r="F13" s="52" t="s">
        <v>235</v>
      </c>
      <c r="G13" s="43">
        <f>IF(OR(E13="WARNING",E13="ERROR",E13="INFO",E13="MISSING"),"Debt is sized on EBITDA: the model needs a positive EBITDA in year 0","")</f>
      </c>
    </row>
    <row r="14" spans="2:7" x14ac:dyDescent="0.25">
      <c r="B14" s="29">
        <f>B13+1</f>
      </c>
      <c r="C14" s="13" t="s">
        <v>236</v>
      </c>
      <c r="D14" s="32">
        <f>Equity_In</f>
      </c>
      <c r="E14" s="51">
        <f>IF(Inputs_Complete=0,"n/a",IF(Equity_In&gt;0,"OK","ERROR"))</f>
      </c>
      <c r="F14" s="52" t="s">
        <v>237</v>
      </c>
      <c r="G14" s="43">
        <f>IF(OR(E14="WARNING",E14="ERROR",E14="INFO",E14="MISSING"),"Debt and cash cover the whole price: no return can be calculated","")</f>
      </c>
    </row>
    <row r="15" spans="2:7" x14ac:dyDescent="0.25">
      <c r="B15" s="29">
        <f>B14+1</f>
      </c>
      <c r="C15" s="13" t="s">
        <v>238</v>
      </c>
      <c r="D15" s="53">
        <f>Sources_Total-Uses_Total</f>
      </c>
      <c r="E15" s="51">
        <f>IF(Inputs_Complete=0,"n/a",IF(ABS(D15)&lt;=Check_Tolerance*MAX(1,ABS(Uses_Total)),"OK","ERROR"))</f>
      </c>
      <c r="F15" s="52" t="s">
        <v>239</v>
      </c>
      <c r="G15" s="43">
        <f>IF(OR(E15="WARNING",E15="ERROR",E15="INFO",E15="MISSING"),"Sources and uses do not add up: the model has been changed","")</f>
      </c>
    </row>
    <row r="16" spans="2:7" x14ac:dyDescent="0.25">
      <c r="B16" s="29">
        <f>B15+1</f>
      </c>
      <c r="C16" s="13" t="s">
        <v>240</v>
      </c>
      <c r="D16" s="26">
        <f>MIN('Debt Schedule'!$F$16:$L$16,'Debt Schedule'!$F$22:$L$22)</f>
      </c>
      <c r="E16" s="51">
        <f>IF(Inputs_Complete=0,"n/a",IF(D16&gt;=-Check_Tolerance,"OK","ERROR"))</f>
      </c>
      <c r="F16" s="52" t="s">
        <v>241</v>
      </c>
      <c r="G16" s="43">
        <f>IF(OR(E16="WARNING",E16="ERROR",E16="INFO",E16="MISSING"),"A closing debt balance is negative: the model has been changed","")</f>
      </c>
    </row>
    <row r="17" spans="2:7" x14ac:dyDescent="0.25">
      <c r="B17" s="29">
        <f>B16+1</f>
      </c>
      <c r="C17" s="13" t="s">
        <v>242</v>
      </c>
      <c r="D17" s="29">
        <f>SUMPRODUCT(--('Debt Schedule'!$F$12:$L$12-'Debt Schedule'!$F$14:$L$14-'Debt Schedule'!$F$15:$L$15&lt;-Check_Tolerance))</f>
      </c>
      <c r="E17" s="51">
        <f>IF(Inputs_Complete=0,"n/a",IF(D17=0,"OK","ERROR"))</f>
      </c>
      <c r="F17" s="52" t="s">
        <v>243</v>
      </c>
      <c r="G17" s="43">
        <f>IF(OR(E17="WARNING",E17="ERROR",E17="INFO",E17="MISSING"),"Repayment exceeds the senior debt outstanding: the model has been changed","")</f>
      </c>
    </row>
    <row r="18" spans="2:7" x14ac:dyDescent="0.25">
      <c r="B18" s="29">
        <f>B17+1</f>
      </c>
      <c r="C18" s="13" t="s">
        <v>244</v>
      </c>
      <c r="D18" s="37">
        <f>Funding_Gap_Year</f>
      </c>
      <c r="E18" s="51">
        <f>IF(Inputs_Complete=0,"n/a",IF(D18=0,"OK","WARNING"))</f>
      </c>
      <c r="F18" s="52" t="s">
        <v>245</v>
      </c>
      <c r="G18" s="43">
        <f>IF(OR(E18="WARNING",E18="ERROR",E18="INFO",E18="MISSING"),"The cash flow does not cover interest and mandatory amortisation: the investor would need more money (no revolving credit facility in this model)","")</f>
      </c>
    </row>
    <row r="19" spans="2:7" x14ac:dyDescent="0.25">
      <c r="B19" s="29">
        <f>B18+1</f>
      </c>
      <c r="C19" s="13" t="s">
        <v>246</v>
      </c>
      <c r="D19" s="32">
        <f>Equity_Exit_Raw</f>
      </c>
      <c r="E19" s="51">
        <f>IF(Inputs_Complete=0,"n/a",IF(D19&gt;0,"OK","WARNING"))</f>
      </c>
      <c r="F19" s="52" t="s">
        <v>177</v>
      </c>
      <c r="G19" s="43">
        <f>IF(OR(E19="WARNING",E19="ERROR",E19="INFO",E19="MISSING"),"The debt at exit exceeds the exit value: the investor loses the whole equity (MOIC 0.00x, IRR -100%). The rest of the loss is borne by the lenders.","")</f>
      </c>
    </row>
    <row r="20" spans="2:7" x14ac:dyDescent="0.25">
      <c r="B20" s="29">
        <f>B19+1</f>
      </c>
      <c r="C20" s="13" t="s">
        <v>247</v>
      </c>
      <c r="D20" s="53">
        <f>Attribution_Sum-Investor_Gain</f>
      </c>
      <c r="E20" s="51">
        <f>IF(Inputs_Complete=0,"n/a",IF(ABS(D20)&lt;=Check_Tolerance*MAX(1,ABS(Equity_In)),"OK","ERROR"))</f>
      </c>
      <c r="F20" s="52" t="s">
        <v>248</v>
      </c>
      <c r="G20" s="43">
        <f>IF(OR(E20="WARNING",E20="ERROR",E20="INFO",E20="MISSING"),"The attribution does not add up: the model has been changed","")</f>
      </c>
    </row>
    <row r="21" spans="2:7" x14ac:dyDescent="0.25">
      <c r="B21" s="29">
        <f>B20+1</f>
      </c>
      <c r="C21" s="13" t="s">
        <v>249</v>
      </c>
      <c r="D21" s="53">
        <f>IF(ISNUMBER(IRR),(1+IRR)^Holding_N-MOIC,0)</f>
      </c>
      <c r="E21" s="51">
        <f>IF(Inputs_Complete=0,"n/a",IF(ABS(D21)&lt;=Check_Tolerance*MAX(1,ABS(MOIC)),"OK","ERROR"))</f>
      </c>
      <c r="F21" s="52" t="s">
        <v>250</v>
      </c>
      <c r="G21" s="43">
        <f>IF(OR(E21="WARNING",E21="ERROR",E21="INFO",E21="MISSING"),"IRR and MOIC do not match: the model has been changed","")</f>
      </c>
    </row>
    <row r="22" spans="2:7" x14ac:dyDescent="0.25">
      <c r="B22" s="29">
        <f>B21+1</f>
      </c>
      <c r="C22" s="13" t="s">
        <v>251</v>
      </c>
      <c r="D22" s="53">
        <f>IF(Equity_Exit&gt;0,IRR(Investor_Cash_Flows)-IRR,0)</f>
      </c>
      <c r="E22" s="51">
        <f>IF(Inputs_Complete=0,"n/a",IF(ABS(D22)&lt;=IRR_Tolerance,"OK","ERROR"))</f>
      </c>
      <c r="F22" s="52" t="s">
        <v>252</v>
      </c>
      <c r="G22" s="43">
        <f>IF(OR(E22="WARNING",E22="ERROR",E22="INFO",E22="MISSING"),"The function IRR gives another result: the model has been changed","")</f>
      </c>
    </row>
    <row r="23" spans="2:7" x14ac:dyDescent="0.25">
      <c r="B23" s="29">
        <f>B22+1</f>
      </c>
      <c r="C23" s="13" t="s">
        <v>253</v>
      </c>
      <c r="D23" s="53">
        <f>IF(ISNUMBER(Max_EV),(Equity_Exit/(Max_EV*(1+Fee_Transaction)+Financing_Costs+Cash_0-Senior_0-Junior_0))^(1/Holding_N)-1-Target_IRR,0)</f>
      </c>
      <c r="E23" s="51">
        <f>IF(Inputs_Complete=0,"n/a",IF(ABS(D23)&lt;=Check_Tolerance*MAX(1,ABS(Target_IRR)),"OK","ERROR"))</f>
      </c>
      <c r="F23" s="52" t="s">
        <v>254</v>
      </c>
      <c r="G23" s="43">
        <f>IF(OR(E23="WARNING",E23="ERROR",E23="INFO",E23="MISSING"),"The maximum price does not give the target IRR: the model has been changed","")</f>
      </c>
    </row>
    <row r="24" spans="2:7" x14ac:dyDescent="0.25">
      <c r="B24" s="29">
        <f>B23+1</f>
      </c>
      <c r="C24" s="13" t="s">
        <v>255</v>
      </c>
      <c r="D24" s="38">
        <f>Max_Multiple</f>
      </c>
      <c r="E24" s="51">
        <f>IF(Inputs_Complete=0,"n/a",IF(ISNUMBER(Max_Multiple),"OK","WARNING"))</f>
      </c>
      <c r="F24" s="52" t="s">
        <v>14</v>
      </c>
      <c r="G24" s="43">
        <f>IF(OR(E24="WARNING",E24="ERROR",E24="INFO",E24="MISSING"),"No price reaches the target IRR with these assumptions","")</f>
      </c>
    </row>
    <row r="25" spans="2:7" x14ac:dyDescent="0.25">
      <c r="B25" s="29">
        <f>B24+1</f>
      </c>
      <c r="C25" s="13" t="s">
        <v>256</v>
      </c>
      <c r="D25" s="53">
        <f>IF(ISNUMBER(IRR),ABS(INDEX(Sens_Exit,3,3)-IRR)+ABS(INDEX(Sens_Debt,3,3)-IRR)+ABS(Sensitivities!G24-Net_Debt_Exit),0)</f>
      </c>
      <c r="E25" s="51">
        <f>IF(Inputs_Complete=0,"n/a",IF(D25&lt;=Check_Tolerance*MAX(1,ABS(Net_Debt_Exit)),"OK","ERROR"))</f>
      </c>
      <c r="F25" s="52" t="s">
        <v>257</v>
      </c>
      <c r="G25" s="43">
        <f>IF(OR(E25="WARNING",E25="ERROR",E25="INFO",E25="MISSING"),"The sensitivities do not match the base case: the model has been changed","")</f>
      </c>
    </row>
    <row r="26" spans="2:7" x14ac:dyDescent="0.25">
      <c r="B26" s="29">
        <f>B25+1</f>
      </c>
      <c r="C26" s="13" t="s">
        <v>258</v>
      </c>
      <c r="D26" s="29">
        <f>SUMPRODUCT(('Debt Schedule'!$F$8:$L$8&lt;0)*(Senior_0&gt;0))+SUMPRODUCT(('Debt Schedule'!$F$9:$L$9&lt;0)*(Junior_0&gt;0))</f>
      </c>
      <c r="E26" s="51">
        <f>IF(Inputs_Complete=0,"n/a",IF(D26=0,"OK","INFO"))</f>
      </c>
      <c r="F26" s="52" t="s">
        <v>259</v>
      </c>
      <c r="G26" s="43">
        <f>IF(OR(E26="WARNING",E26="ERROR",E26="INFO",E26="MISSING"),"A negative SARON without floor gives a negative interest rate in some years","")</f>
      </c>
    </row>
    <row r="27" spans="2:7" x14ac:dyDescent="0.25">
      <c r="B27" s="29">
        <f>B26+1</f>
      </c>
      <c r="C27" s="13" t="s">
        <v>260</v>
      </c>
      <c r="D27" s="27">
        <f>Exit_Multiple_Used-Entry_Multiple_Used</f>
      </c>
      <c r="E27" s="51">
        <f>IF(Inputs_Complete=0,"n/a",IF(D27&lt;=0,"OK","INFO"))</f>
      </c>
      <c r="F27" s="52" t="s">
        <v>261</v>
      </c>
      <c r="G27" s="43">
        <f>IF(OR(E27="WARNING",E27="ERROR",E27="INFO",E27="MISSING"),"Part of the return comes from a higher multiple at exit (see Where the return comes from on Returns)","")</f>
      </c>
    </row>
    <row r="28" spans="2:7" x14ac:dyDescent="0.25">
      <c r="B28" s="29">
        <f>B27+1</f>
      </c>
      <c r="C28" s="13" t="s">
        <v>262</v>
      </c>
      <c r="D28" s="29">
        <f>SUMPRODUCT(--ISERROR(Transaction!E5:F24))+SUMPRODUCT(--ISERROR(Operations!E4:L17))+SUMPRODUCT(--ISERROR('Debt Schedule'!E4:L49))+SUMPRODUCT(--ISERROR(Returns!E5:E38))+SUMPRODUCT(--ISERROR(Returns!B41))+SUMPRODUCT(--ISERROR(Returns!E46:L46))+SUMPRODUCT(--ISERROR(Sensitivities!D6:I24))+SUMPRODUCT(--ISERROR(Sens_Schedules))</f>
      </c>
      <c r="E28" s="51">
        <f>IF(D28=0,"OK","ERROR")</f>
      </c>
      <c r="F28" s="52" t="s">
        <v>263</v>
      </c>
      <c r="G28" s="43">
        <f>IF(OR(E28="WARNING",E28="ERROR",E28="INFO",E28="MISSING"),"Some cells show error values","")</f>
      </c>
    </row>
    <row r="30" ht="18" customHeight="1" spans="2:7" x14ac:dyDescent="0.25">
      <c r="B30" s="5" t="s">
        <v>15</v>
      </c>
      <c r="C30" s="6"/>
      <c r="D30" s="6"/>
      <c r="E30" s="6"/>
      <c r="F30" s="6"/>
      <c r="G30" s="6"/>
    </row>
    <row r="31" spans="3:4" x14ac:dyDescent="0.25">
      <c r="C31" s="13" t="s">
        <v>264</v>
      </c>
      <c r="D31" s="29">
        <f>COUNTIF(Check_Statuses,"ERROR")</f>
      </c>
    </row>
    <row r="32" spans="3:4" x14ac:dyDescent="0.25">
      <c r="C32" s="13" t="s">
        <v>265</v>
      </c>
      <c r="D32" s="29">
        <f>COUNTIF(Check_Statuses,"WARNING")</f>
      </c>
    </row>
    <row r="33" spans="3:4" x14ac:dyDescent="0.25">
      <c r="C33" s="54" t="s">
        <v>266</v>
      </c>
      <c r="D33" s="43">
        <f>IF(Check_Errors&gt;0,Check_Errors&amp;IF(Check_Errors=1," check failed"," checks failed"),IF(Inputs_Complete=0,"Inputs missing",IF(Check_Warnings=0,"All checks OK","All checks OK, "&amp;Check_Warnings&amp;IF(Check_Warnings=1," warning"," warnings"))))</f>
      </c>
    </row>
  </sheetData>
  <conditionalFormatting sqref="E10:E28 G10:G28">
    <cfRule type="expression" dxfId="7" priority="1">
      <formula>OR($E10="ERROR",$E10="MISSING")</formula>
    </cfRule>
    <cfRule type="expression" dxfId="8" priority="2">
      <formula>$E10="WARNING"</formula>
    </cfRule>
    <cfRule type="expression" dxfId="9" priority="3">
      <formula>$E10="INFO"</formula>
    </cfRule>
  </conditionalFormatting>
  <pageMargins left="0.5" right="0.5" top="0.6" bottom="0.6" header="0.3" footer="0.3"/>
  <pageSetup paperSize="9" orientation="landscape" fitToWidth="1" fitToHeight="1"/>
  <headerFooter>
    <oddFooter>&amp;L&amp;"Arial"&amp;8Swiss LBO Model v1.0.0&amp;C&amp;"Arial"&amp;8&amp;A&amp;R&amp;"Arial"&amp;8Page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10"/>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2" style="1" customWidth="1"/>
    <col min="3" max="3" width="12" style="1" customWidth="1"/>
    <col min="4" max="4" width="2" style="1" customWidth="1"/>
    <col min="5" max="5" width="80" style="1" customWidth="1"/>
  </cols>
  <sheetData>
    <row r="1" ht="21" customHeight="1" spans="2:5" x14ac:dyDescent="0.25">
      <c r="B1" s="2" t="s">
        <v>36</v>
      </c>
      <c r="C1" s="3"/>
      <c r="D1" s="3"/>
      <c r="E1" s="3"/>
    </row>
    <row r="2" ht="16" customHeight="1" spans="2:2" x14ac:dyDescent="0.25">
      <c r="B2" s="4">
        <f>IF(Company_Name="","Company not specified",Company_Name)&amp;"   |   CHF m unless stated otherwise   |   Holding period: "&amp;Holding_N&amp;" years   |   Checks: "&amp;Check_Status</f>
      </c>
    </row>
    <row r="4" ht="18" customHeight="1" spans="2:5" x14ac:dyDescent="0.25">
      <c r="B4" s="5" t="s">
        <v>267</v>
      </c>
      <c r="C4" s="6"/>
      <c r="D4" s="6"/>
      <c r="E4" s="6"/>
    </row>
    <row r="5" spans="2:5" x14ac:dyDescent="0.25">
      <c r="B5" s="1" t="s">
        <v>268</v>
      </c>
      <c r="C5" s="17">
        <v>3</v>
      </c>
      <c r="E5" s="52" t="s">
        <v>269</v>
      </c>
    </row>
    <row r="6" spans="2:5" x14ac:dyDescent="0.25">
      <c r="B6" s="1" t="s">
        <v>270</v>
      </c>
      <c r="C6" s="17">
        <v>7</v>
      </c>
      <c r="E6" s="52" t="s">
        <v>271</v>
      </c>
    </row>
    <row r="7" spans="2:5" x14ac:dyDescent="0.25">
      <c r="B7" s="1" t="s">
        <v>272</v>
      </c>
      <c r="C7" s="20">
        <v>1</v>
      </c>
      <c r="E7" s="52" t="s">
        <v>273</v>
      </c>
    </row>
    <row r="8" spans="2:5" x14ac:dyDescent="0.25">
      <c r="B8" s="1" t="s">
        <v>274</v>
      </c>
      <c r="C8" s="20">
        <v>0.5</v>
      </c>
      <c r="E8" s="52" t="s">
        <v>275</v>
      </c>
    </row>
    <row r="9" spans="2:5" x14ac:dyDescent="0.25">
      <c r="B9" s="1" t="s">
        <v>276</v>
      </c>
      <c r="C9" s="55">
        <v>1e-9</v>
      </c>
      <c r="E9" s="52" t="s">
        <v>277</v>
      </c>
    </row>
    <row r="10" spans="2:5" x14ac:dyDescent="0.25">
      <c r="B10" s="1" t="s">
        <v>278</v>
      </c>
      <c r="C10" s="55">
        <v>0.000001</v>
      </c>
      <c r="E10" s="52" t="s">
        <v>279</v>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Inputs</vt:lpstr>
      <vt:lpstr>Transaction</vt:lpstr>
      <vt:lpstr>Operations</vt:lpstr>
      <vt:lpstr>Debt Schedule</vt:lpstr>
      <vt:lpstr>Returns</vt:lpstr>
      <vt:lpstr>Sensitivities</vt:lpstr>
      <vt:lpstr>Checks</vt:lpstr>
      <vt:lpstr>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Walpert, noelwalpert.com</dc:creator>
  <dc:title>Swiss LBO Model</dc:title>
  <dc:subject/>
  <dc:description/>
  <cp:keywords/>
  <cp:category/>
  <cp:lastModifiedBy>Unknown</cp:lastModifiedBy>
  <dcterms:created xsi:type="dcterms:W3CDTF">2026-10-24T10:00:00Z</dcterms:created>
  <dcterms:modified xsi:type="dcterms:W3CDTF">2026-10-24T10:00:00Z</dcterms:modified>
</cp:coreProperties>
</file>