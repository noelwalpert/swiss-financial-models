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000" windowHeight="12000" firstSheet="0" activeTab="0"/>
  </bookViews>
  <sheets>
    <sheet sheetId="1" name="Cover" state="visible" r:id="rId4"/>
    <sheet sheetId="2" name="Inputs" state="visible" r:id="rId5"/>
    <sheet sheetId="3" name="FCF Build" state="visible" r:id="rId6"/>
    <sheet sheetId="4" name="WACC" state="visible" r:id="rId7"/>
    <sheet sheetId="5" name="DCF" state="visible" r:id="rId8"/>
    <sheet sheetId="6" name="Sensitivities" state="visible" r:id="rId9"/>
    <sheet sheetId="7" name="Reverse DCF" state="visible" r:id="rId10"/>
    <sheet sheetId="8" name="Checks" state="visible" r:id="rId11"/>
    <sheet sheetId="9" name="Settings" state="visible" r:id="rId12"/>
  </sheets>
  <definedNames>
    <definedName name="Company_Name">Inputs!$E$5</definedName>
    <definedName name="Base_Year">Inputs!$E$7</definedName>
    <definedName name="Valuation_Date">Inputs!$E$8</definedName>
    <definedName name="Forecast_Years">Inputs!$E$11</definedName>
    <definedName name="Discounting">Inputs!$E$12</definedName>
    <definedName name="Scenario">Inputs!$E$13</definedName>
    <definedName name="FCF_Source">Inputs!$E$14</definedName>
    <definedName name="WACC_Source">Inputs!$E$15</definedName>
    <definedName name="TV_Method">Inputs!$E$16</definedName>
    <definedName name="Mid_Year">Inputs!$E$19</definedName>
    <definedName name="Scenario_No">Inputs!$E$20</definedName>
    <definedName name="Build_Flag">Inputs!$E$21</definedName>
    <definedName name="Exit_Flag">Inputs!$E$22</definedName>
    <definedName name="Base_FCF">Inputs!$E$25</definedName>
    <definedName name="FCF_Growth">Inputs!$E$26</definedName>
    <definedName name="Base_Revenue">Inputs!$E$29</definedName>
    <definedName name="Tax_Rate">Inputs!$E$30</definedName>
    <definedName name="DA_Pct">Inputs!$E$31</definedName>
    <definedName name="Capex_Pct">Inputs!$E$32</definedName>
    <definedName name="NWC_Pct">Inputs!$E$33</definedName>
    <definedName name="Live_Growth">Inputs!$F$41:$J$41</definedName>
    <definedName name="Live_Margin">Inputs!$F$47:$J$47</definedName>
    <definedName name="Exit_Multiple">Inputs!$E$53</definedName>
    <definedName name="WACC_Direct">Inputs!$E$56</definedName>
    <definedName name="Rf">Inputs!$E$57</definedName>
    <definedName name="Beta_Type">Inputs!$E$58</definedName>
    <definedName name="Beta_Input">Inputs!$E$59</definedName>
    <definedName name="MRP">Inputs!$E$60</definedName>
    <definedName name="Cost_Of_Debt">Inputs!$E$61</definedName>
    <definedName name="Target_DV">Inputs!$E$62</definedName>
    <definedName name="TGR">Inputs!$E$65</definedName>
    <definedName name="Cash">Inputs!$E$68</definedName>
    <definedName name="Debt">Inputs!$E$69</definedName>
    <definedName name="Minorities">Inputs!$E$70</definedName>
    <definedName name="Investments">Inputs!$E$71</definedName>
    <definedName name="Pensions">Inputs!$E$72</definedName>
    <definedName name="Shares">Inputs!$E$73</definedName>
    <definedName name="Share_Price">Inputs!$E$74</definedName>
    <definedName name="Step_WACC">Settings!$E$5</definedName>
    <definedName name="Step_TGR">Settings!$E$6</definedName>
    <definedName name="Step_Multiple">Settings!$E$7</definedName>
    <definedName name="Growth_Lower">Settings!$E$8</definedName>
    <definedName name="Growth_Upper">Settings!$E$9</definedName>
    <definedName name="WACC_Lower">Settings!$E$10</definedName>
    <definedName name="WACC_Upper">Settings!$E$11</definedName>
    <definedName name="WACC_Spread">Settings!$E$12</definedName>
    <definedName name="Check_Tolerance">Settings!$E$13</definedName>
    <definedName name="Reverse_Tolerance">Settings!$E$14</definedName>
    <definedName name="TV_Share_Limit">Settings!$E$15</definedName>
    <definedName name="FCF_Used">'FCF Build'!$F$29:$O$29</definedName>
    <definedName name="EBITDA_Used">'FCF Build'!$F$30:$O$30</definedName>
    <definedName name="WACC_CAPM">WACC!$E$21</definedName>
    <definedName name="WACC">WACC!$E$24</definedName>
    <definedName name="In_Forecast">DCF!$F$6:$O$6</definedName>
    <definedName name="Disc_Period">DCF!$F$10:$O$10</definedName>
    <definedName name="FCF_N">DCF!$E$16</definedName>
    <definedName name="EBITDA_N">DCF!$E$17</definedName>
    <definedName name="TV_Perp">DCF!$E$19</definedName>
    <definedName name="TV_Exit">DCF!$E$21</definedName>
    <definedName name="PV_TV">DCF!$E$25</definedName>
    <definedName name="Implied_Multiple">DCF!$E$28</definedName>
    <definedName name="Implied_TGR">DCF!$E$29</definedName>
    <definedName name="Sum_PV_FCF">DCF!$E$32</definedName>
    <definedName name="Enterprise_Value">DCF!$E$34</definedName>
    <definedName name="Equity_Value">DCF!$E$40</definedName>
    <definedName name="Value_Per_Share">DCF!$E$42</definedName>
    <definedName name="Upside">DCF!$E$44</definedName>
    <definedName name="TV_Share">DCF!$E$45</definedName>
    <definedName name="Net_Bridge">DCF!$E$46</definedName>
    <definedName name="Implied_Growth">'Reverse DCF'!$F$8</definedName>
    <definedName name="Implied_Growth_Diff">'Reverse DCF'!$F$10</definedName>
    <definedName name="Implied_WACC">'Reverse DCF'!$F$14</definedName>
    <definedName name="Implied_WACC_Diff">'Reverse DCF'!$F$15</definedName>
    <definedName name="Inputs_Complete">Checks!$D$5</definedName>
    <definedName name="Inputs_OK">Checks!$D$6</definedName>
    <definedName name="Model_Valid">Checks!$D$7</definedName>
    <definedName name="Check_Errors">Checks!$D$31</definedName>
    <definedName name="Check_Warnings">Checks!$D$32</definedName>
    <definedName name="Check_Status">Checks!$D$33</definedName>
    <definedName name="_xlnm.Print_Area" localSheetId="0">'Cover'!$A$1:$D$45</definedName>
    <definedName name="_xlnm.Print_Titles" localSheetId="0">'Cover'!$1:$2</definedName>
    <definedName name="_xlnm.Print_Area" localSheetId="1">'Inputs'!$A$1:$J$74</definedName>
    <definedName name="_xlnm.Print_Titles" localSheetId="1">'Inputs'!$1:$2</definedName>
    <definedName name="_xlnm.Print_Area" localSheetId="2">'FCF Build'!$A$1:$O$30</definedName>
    <definedName name="_xlnm.Print_Titles" localSheetId="2">'FCF Build'!$1:$2</definedName>
    <definedName name="_xlnm.Print_Area" localSheetId="3">'WACC'!$A$1:$E$28</definedName>
    <definedName name="_xlnm.Print_Titles" localSheetId="3">'WACC'!$1:$2</definedName>
    <definedName name="_xlnm.Print_Area" localSheetId="4">'DCF'!$A$1:$O$46</definedName>
    <definedName name="_xlnm.Print_Titles" localSheetId="4">'DCF'!$1:$2</definedName>
    <definedName name="_xlnm.Print_Area" localSheetId="5">'Sensitivities'!$A$1:$H$31</definedName>
    <definedName name="_xlnm.Print_Titles" localSheetId="5">'Sensitivities'!$1:$2</definedName>
    <definedName name="_xlnm.Print_Area" localSheetId="6">'Reverse DCF'!$A$1:$G$152</definedName>
    <definedName name="_xlnm.Print_Titles" localSheetId="6">'Reverse DCF'!$1:$2</definedName>
    <definedName name="_xlnm.Print_Area" localSheetId="7">'Checks'!$A$1:$G$33</definedName>
    <definedName name="_xlnm.Print_Titles" localSheetId="7">'Checks'!$1:$2</definedName>
    <definedName name="_xlnm.Print_Area" localSheetId="8">'Settings'!$A$1:$E$15</definedName>
    <definedName name="_xlnm.Print_Titles" localSheetId="8">'Settings'!$1:$2</definedName>
  </definedNames>
  <calcPr calcId="171027" fullCalcOnLoad="1"/>
</workbook>
</file>

<file path=xl/comments1.xml><?xml version="1.0" encoding="utf-8"?>
<comments xmlns="http://schemas.openxmlformats.org/spreadsheetml/2006/main">
  <authors>
    <author>Author</author>
  </authors>
  <commentList>
    <comment ref="B1" authorId="0">
      <text>
        <r>
          <t>Discounted cash flow valuation with reverse DCF for Swiss equities, in Swiss francs</t>
        </r>
      </text>
    </comment>
    <comment ref="C17" authorId="0">
      <text>
        <r>
          <t>Comparison values, as on the website. WACC (CAPM): cost of capital from the CAPM inputs with the current risk-free rate. Implied WACC: the WACC at which the value per share equals the current share price (sheet Reverse DCF). Set WACC source = CAPM on Inputs to value with the CAPM WACC.</t>
        </r>
      </text>
    </comment>
  </commentList>
</comments>
</file>

<file path=xl/comments2.xml><?xml version="1.0" encoding="utf-8"?>
<comments xmlns="http://schemas.openxmlformats.org/spreadsheetml/2006/main">
  <authors>
    <author>Author</author>
  </authors>
  <commentList>
    <comment ref="B1" authorId="0">
      <text>
        <r>
          <t>All blue cells are inputs. Amounts in CHF millions, shares in millions, share price in CHF. Technical parameters are on the sheet Settings.</t>
        </r>
      </text>
    </comment>
    <comment ref="B5" authorId="0">
      <text>
        <r>
          <t>Optional. Shown in the header of every sheet.</t>
        </r>
      </text>
    </comment>
    <comment ref="B6" authorId="0">
      <text>
        <r>
          <t>Version 1 supports Swiss francs only</t>
        </r>
      </text>
    </comment>
    <comment ref="B7" authorId="0">
      <text>
        <r>
          <t>Last reported fiscal year</t>
        </r>
      </text>
    </comment>
    <comment ref="E7" authorId="0">
      <text>
        <r>
          <t>The valuation date is the end of the base fiscal year. No stub period in version 1.</t>
        </r>
      </text>
    </comment>
    <comment ref="E11" authorId="0">
      <text>
        <r>
          <t>Years 1 to 5 use the scenario inputs. With 10 years, growth in years 6 to 10 fades linearly to the terminal growth rate and the margin stays at its year 5 level.</t>
        </r>
      </text>
    </comment>
    <comment ref="E12" authorId="0">
      <text>
        <r>
          <t>Mid-year: cash flows of year t are discounted with t - 0.5. The perpetuity growth terminal value is discounted with N - 0.5, the exit multiple terminal value with N (sale at the end of year N).</t>
        </r>
      </text>
    </comment>
    <comment ref="B13" authorId="0">
      <text>
        <r>
          <t>Applies to the FCF build only. With direct FCF input the scenarios have no effect.</t>
        </r>
      </text>
    </comment>
    <comment ref="B14" authorId="0">
      <text>
        <r>
          <t>Direct: base year FCF and growth. Build: free cash flow derived from revenue and EBIT margin.</t>
        </r>
      </text>
    </comment>
    <comment ref="B15" authorId="0">
      <text>
        <r>
          <t>Direct: your own WACC. CAPM: built from the inputs below. Both are shown for comparison on the Cover.</t>
        </r>
      </text>
    </comment>
    <comment ref="B16" authorId="0">
      <text>
        <r>
          <t>The exit multiple needs EBITDA and therefore the FCF build.</t>
        </r>
      </text>
    </comment>
    <comment ref="B25" authorId="0">
      <text>
        <r>
          <t>Unlevered free cash flow, before interest</t>
        </r>
      </text>
    </comment>
    <comment ref="B26" authorId="0">
      <text>
        <r>
          <t>With 10 years, growth in years 6 to 10 fades linearly to the terminal growth rate.</t>
        </r>
      </text>
    </comment>
    <comment ref="B30" authorId="0">
      <text>
        <r>
          <t>Also used for the tax shield on debt in the WACC</t>
        </r>
      </text>
    </comment>
    <comment ref="E30" authorId="0">
      <text>
        <r>
          <t>Taxes are charged on EBIT, also when EBIT is negative (no loss carryforwards in version 1).</t>
        </r>
      </text>
    </comment>
    <comment ref="B56" authorId="0">
      <text>
        <r>
          <t>Used when WACC source = Direct. The CAPM WACC and the implied WACC are shown for comparison on the Cover.</t>
        </r>
      </text>
    </comment>
    <comment ref="E57" authorId="0">
      <text>
        <r>
          <t>Suggestion: spot rate of the 10-year Swiss Confederation bond, end of month, Swiss National Bank, data portal table rendeiduebm (September 2026). The model uses the current yield on purpose. Many practitioners use a normalised risk-free rate in low-rate periods.</t>
        </r>
      </text>
    </comment>
    <comment ref="B58" authorId="0">
      <text>
        <r>
          <t>An unlevered beta is relevered with the target capital structure (Hamada).</t>
        </r>
      </text>
    </comment>
    <comment ref="E60" authorId="0">
      <text>
        <r>
          <t>5.0% is an illustrative example value, not taken from a study. Replace it with your own estimate.</t>
        </r>
      </text>
    </comment>
    <comment ref="B62" authorId="0">
      <text>
        <r>
          <t>Target capital structure at market values, not book values</t>
        </r>
      </text>
    </comment>
    <comment ref="E65" authorId="0">
      <text>
        <r>
          <t>Long-term growth after the forecast period. A company cannot grow faster than the economy forever. The risk-free rate serves as an upper guide.</t>
        </r>
      </text>
    </comment>
  </commentList>
</comments>
</file>

<file path=xl/comments3.xml><?xml version="1.0" encoding="utf-8"?>
<comments xmlns="http://schemas.openxmlformats.org/spreadsheetml/2006/main">
  <authors>
    <author>Author</author>
  </authors>
  <commentList>
    <comment ref="B1" authorId="0">
      <text>
        <r>
          <t>Unlevered free cash flow. Columns beyond the forecast period are shown in grey and not used. Years 6 to 10 are grouped and collapsed with a 5 year forecast. The block not selected on Inputs (build or direct) is shown in grey.</t>
        </r>
      </text>
    </comment>
    <comment ref="B9" authorId="0">
      <text>
        <r>
          <t>Years 6 to 10 fade linearly to the terminal growth rate.</t>
        </r>
      </text>
    </comment>
    <comment ref="B11" authorId="0">
      <text>
        <r>
          <t>Years 6 to 10 keep the year 5 margin.</t>
        </r>
      </text>
    </comment>
    <comment ref="B17" authorId="0">
      <text>
        <r>
          <t>Balance at year end</t>
        </r>
      </text>
    </comment>
    <comment ref="B25" authorId="0">
      <text>
        <r>
          <t>Years 6 to 10 fade linearly to the terminal growth rate.</t>
        </r>
      </text>
    </comment>
    <comment ref="B30" authorId="0">
      <text>
        <r>
          <t>Only with the FCF build, otherwise zero.</t>
        </r>
      </text>
    </comment>
  </commentList>
</comments>
</file>

<file path=xl/comments4.xml><?xml version="1.0" encoding="utf-8"?>
<comments xmlns="http://schemas.openxmlformats.org/spreadsheetml/2006/main">
  <authors>
    <author>Author</author>
  </authors>
  <commentList>
    <comment ref="B1" authorId="0">
      <text>
        <r>
          <t>Weighted average cost of capital. CAPM for the cost of equity, target capital structure.</t>
        </r>
      </text>
    </comment>
    <comment ref="B12" authorId="0">
      <text>
        <r>
          <t>Hamada: unlevered beta x (1 + (1 - tax rate) x D/E)</t>
        </r>
      </text>
    </comment>
    <comment ref="B18" authorId="0">
      <text>
        <r>
          <t>Pre-tax cost of debt x (1 - tax rate)</t>
        </r>
      </text>
    </comment>
    <comment ref="B26" authorId="0">
      <text>
        <r>
          <t>The risk-free rate is the current yield of the Swiss Confederation bond (SNB). Many practitioners use a normalised risk-free rate in low-rate periods. The gap between the CAPM WACC and the WACC implied by the share price is itself information about Swiss equities.</t>
        </r>
      </text>
    </comment>
    <comment ref="B27" authorId="0">
      <text>
        <r>
          <t>From the sheet Reverse DCF</t>
        </r>
      </text>
    </comment>
  </commentList>
</comments>
</file>

<file path=xl/comments5.xml><?xml version="1.0" encoding="utf-8"?>
<comments xmlns="http://schemas.openxmlformats.org/spreadsheetml/2006/main">
  <authors>
    <author>Author</author>
  </authors>
  <commentList>
    <comment ref="B1" authorId="0">
      <text>
        <r>
          <t>Discounted cash flow valuation and equity bridge</t>
        </r>
      </text>
    </comment>
    <comment ref="B10" authorId="0">
      <text>
        <r>
          <t>t, or t - 0.5 with the mid-year convention</t>
        </r>
      </text>
    </comment>
    <comment ref="B12" authorId="0">
      <text>
        <r>
          <t>Only years in the forecast period</t>
        </r>
      </text>
    </comment>
    <comment ref="E24" authorId="0">
      <text>
        <r>
          <t>Mid-year convention: perpetuity cash flows also arrive mid-year, so the perpetuity terminal value is discounted with N - 0.5. The exit multiple is a sale at the end of year N and is discounted with N.</t>
        </r>
      </text>
    </comment>
    <comment ref="B28" authorId="0">
      <text>
        <r>
          <t>Terminal value (perpetuity growth) / EBITDA(N)</t>
        </r>
      </text>
    </comment>
    <comment ref="B29" authorId="0">
      <text>
        <r>
          <t>(TV x WACC - F) / (TV + F) with F = FCF(N) x (1 + WACC) ^ mid-year shift. Gives the terminal growth rate whose perpetuity value equals the exit multiple value in present value terms.</t>
        </r>
      </text>
    </comment>
    <comment ref="E42" authorId="0">
      <text>
        <r>
          <t>Calculated value based on your assumptions. Not a fair value and not a price target.</t>
        </r>
      </text>
    </comment>
  </commentList>
</comments>
</file>

<file path=xl/comments6.xml><?xml version="1.0" encoding="utf-8"?>
<comments xmlns="http://schemas.openxmlformats.org/spreadsheetml/2006/main">
  <authors>
    <author>Author</author>
  </authors>
  <commentList>
    <comment ref="B1" authorId="0">
      <text>
        <r>
          <t>Value per share in CHF. Free cash flows held constant: only discounting and the terminal value change. Steps of the axes on the sheet Settings.</t>
        </r>
      </text>
    </comment>
  </commentList>
</comments>
</file>

<file path=xl/comments7.xml><?xml version="1.0" encoding="utf-8"?>
<comments xmlns="http://schemas.openxmlformats.org/spreadsheetml/2006/main">
  <authors>
    <author>Author</author>
  </authors>
  <commentList>
    <comment ref="B1" authorId="0">
      <text>
        <r>
          <t>Growth or WACC implied by the share price, solved with formulas (bisection), no Goal Seek. Each row halves the search interval. If the value at the midpoint is below the share price, the midpoint becomes the new lower bound, otherwise the new upper bound. After 60 rows the interval is far smaller than any rounding. The growth search replaces growth in years 1 to 5 (free cash flow growth with direct input, revenue growth with the FCF build, margins unchanged). Years 6 to 10 fade to terminal growth as usual. The iterations are grouped: use the + buttons on the left to show them.</t>
        </r>
      </text>
    </comment>
    <comment ref="I8" authorId="0">
      <text>
        <r>
          <t>Helper row for the growth search: Year t</t>
        </r>
      </text>
    </comment>
    <comment ref="I9" authorId="0">
      <text>
        <r>
          <t>Helper row for the growth search: In forecast period</t>
        </r>
      </text>
    </comment>
    <comment ref="I10" authorId="0">
      <text>
        <r>
          <t>Helper row for the growth search: Discount factor</t>
        </r>
      </text>
    </comment>
    <comment ref="I11" authorId="0">
      <text>
        <r>
          <t>Helper row for the growth search: FCF per revenue before NWC change: margin x (1 - tax) + D&amp;A - capex</t>
        </r>
      </text>
    </comment>
    <comment ref="I12" authorId="0">
      <text>
        <r>
          <t>Helper row for the growth search: EBITDA margin: margin + D&amp;A</t>
        </r>
      </text>
    </comment>
  </commentList>
</comments>
</file>

<file path=xl/comments8.xml><?xml version="1.0" encoding="utf-8"?>
<comments xmlns="http://schemas.openxmlformats.org/spreadsheetml/2006/main">
  <authors>
    <author>Author</author>
  </authors>
  <commentList>
    <comment ref="B1" authorId="0">
      <text>
        <r>
          <t>Plausibility and integrity checks. ERROR must be fixed, WARNING deserves a second look, INFO is for information only.</t>
        </r>
      </text>
    </comment>
  </commentList>
</comments>
</file>

<file path=xl/comments9.xml><?xml version="1.0" encoding="utf-8"?>
<comments xmlns="http://schemas.openxmlformats.org/spreadsheetml/2006/main">
  <authors>
    <author>Author</author>
  </authors>
  <commentList>
    <comment ref="B1" authorId="0">
      <text>
        <r>
          <t>Technical model parameters. Change them only if you know why: search bounds and tolerances of the reverse DCF, the threshold of the terminal value check and the steps of the sensitivity tables.</t>
        </r>
      </text>
    </comment>
    <comment ref="B11" authorId="0">
      <text>
        <r>
          <t>With the perpetuity growth method the WACC search starts this far above the terminal growth rate.</t>
        </r>
      </text>
    </comment>
    <comment ref="B13" authorId="0">
      <text>
        <r>
          <t>The bisection stops after 60 rows. A check fails if the value per share at the result differs from the share price by more than this.</t>
        </r>
      </text>
    </comment>
  </commentList>
</comments>
</file>

<file path=xl/sharedStrings.xml><?xml version="1.0" encoding="utf-8"?>
<sst xmlns="http://schemas.openxmlformats.org/spreadsheetml/2006/main" count="464" uniqueCount="294">
  <si>
    <t>Swiss DCF Model</t>
  </si>
  <si>
    <t>About this file</t>
  </si>
  <si>
    <t>Version</t>
  </si>
  <si>
    <t>v1.0.0</t>
  </si>
  <si>
    <t>Created</t>
  </si>
  <si>
    <t>20 October 2026</t>
  </si>
  <si>
    <t>File</t>
  </si>
  <si>
    <t>Blank template (fill in the blue cells on the sheet Inputs)</t>
  </si>
  <si>
    <t>Currency and units</t>
  </si>
  <si>
    <t>CHF. Amounts in millions, shares in millions, price per share in CHF</t>
  </si>
  <si>
    <t>Company</t>
  </si>
  <si>
    <t>Key results</t>
  </si>
  <si>
    <t>Model status</t>
  </si>
  <si>
    <t>Value per share (CHF)</t>
  </si>
  <si>
    <t>Current share price (CHF)</t>
  </si>
  <si>
    <t>Implied growth, years 1 to 5</t>
  </si>
  <si>
    <t>WACC used in the model</t>
  </si>
  <si>
    <t>Comparison: WACC (CAPM)</t>
  </si>
  <si>
    <t>Comparison: implied WACC</t>
  </si>
  <si>
    <t>Colour code</t>
  </si>
  <si>
    <t>1.0</t>
  </si>
  <si>
    <t>Blue: input</t>
  </si>
  <si>
    <t>Black: formula</t>
  </si>
  <si>
    <t>Green: link to another sheet</t>
  </si>
  <si>
    <t>Contents</t>
  </si>
  <si>
    <t>Inputs</t>
  </si>
  <si>
    <t>Assumptions and switches: scenario, FCF and WACC source, terminal value, conventions</t>
  </si>
  <si>
    <t>FCF Build</t>
  </si>
  <si>
    <t>Unlevered free cash flow from EBIT, or from direct input</t>
  </si>
  <si>
    <t>WACC</t>
  </si>
  <si>
    <t>CAPM cost of equity, after-tax cost of debt, target capital structure</t>
  </si>
  <si>
    <t>DCF</t>
  </si>
  <si>
    <t>Discounting, terminal value, cross-checks and equity bridge</t>
  </si>
  <si>
    <t>Sensitivities</t>
  </si>
  <si>
    <t>Value per share for WACC, terminal growth and exit multiple</t>
  </si>
  <si>
    <t>Reverse DCF</t>
  </si>
  <si>
    <t>Growth and WACC implied by the share price, solved with visible formulas</t>
  </si>
  <si>
    <t>Checks</t>
  </si>
  <si>
    <t>Plausibility and integrity checks</t>
  </si>
  <si>
    <t>Settings</t>
  </si>
  <si>
    <t>Technical parameters: search bounds, tolerances, sensitivity steps</t>
  </si>
  <si>
    <t>Sources and licence</t>
  </si>
  <si>
    <t>Risk-free rate</t>
  </si>
  <si>
    <t>Swiss National Bank, data portal, table rendeiduebm: spot interest rate of the 10-year Swiss Confederation bond, end of month. Suggested value 0.586% (September 2026)</t>
  </si>
  <si>
    <t>Method</t>
  </si>
  <si>
    <t>https://noelwalpert.com/tools/dcf-rechner (section "Für Fachleute")</t>
  </si>
  <si>
    <t>Repository</t>
  </si>
  <si>
    <t>https://github.com/noelwalpert/swiss-financial-models</t>
  </si>
  <si>
    <t>Licence</t>
  </si>
  <si>
    <t>CC BY 4.0. You may share and adapt this file, also commercially, if you credit: Noel Walpert, noelwalpert.com</t>
  </si>
  <si>
    <t>Disclaimer</t>
  </si>
  <si>
    <t>This model is an illustration for educational and informational purposes. It is not investment, legal or tax advice and not a recommendation to buy or sell any security. The value per share is a calculated value based on your own assumptions, not a fair value and not a price target. Results depend entirely on the inputs.</t>
  </si>
  <si>
    <t>General</t>
  </si>
  <si>
    <t>Company name</t>
  </si>
  <si>
    <t>Currency</t>
  </si>
  <si>
    <t>CHF</t>
  </si>
  <si>
    <t>Base fiscal year</t>
  </si>
  <si>
    <t>year</t>
  </si>
  <si>
    <t>Valuation date</t>
  </si>
  <si>
    <t>date</t>
  </si>
  <si>
    <t>Model switches</t>
  </si>
  <si>
    <t>Forecast period</t>
  </si>
  <si>
    <t>years</t>
  </si>
  <si>
    <t>Discounting convention</t>
  </si>
  <si>
    <t>Year-end</t>
  </si>
  <si>
    <t>Scenario</t>
  </si>
  <si>
    <t>Base</t>
  </si>
  <si>
    <t>Free cash flow source</t>
  </si>
  <si>
    <t>Direct</t>
  </si>
  <si>
    <t>WACC source</t>
  </si>
  <si>
    <t>Terminal value method</t>
  </si>
  <si>
    <t>Perpetuity growth</t>
  </si>
  <si>
    <t>Derived switch values</t>
  </si>
  <si>
    <t>Mid-year shift</t>
  </si>
  <si>
    <t>Scenario number</t>
  </si>
  <si>
    <t>1 to 3</t>
  </si>
  <si>
    <t>FCF build flag</t>
  </si>
  <si>
    <t>1 = build</t>
  </si>
  <si>
    <t>Exit multiple flag</t>
  </si>
  <si>
    <t>1 = exit</t>
  </si>
  <si>
    <t>Free cash flow, direct input</t>
  </si>
  <si>
    <t>Free cash flow, base year</t>
  </si>
  <si>
    <t>CHF m</t>
  </si>
  <si>
    <t>FCF growth, years 1 to 5</t>
  </si>
  <si>
    <t>% p.a.</t>
  </si>
  <si>
    <t>Free cash flow build, operating assumptions</t>
  </si>
  <si>
    <t>Revenue, base year</t>
  </si>
  <si>
    <t>Tax rate on EBIT</t>
  </si>
  <si>
    <t>%</t>
  </si>
  <si>
    <t>Depreciation and amortisation</t>
  </si>
  <si>
    <t>% of revenue</t>
  </si>
  <si>
    <t>Capital expenditure</t>
  </si>
  <si>
    <t>Net working capital</t>
  </si>
  <si>
    <t>Scenarios for the FCF build</t>
  </si>
  <si>
    <t>Value</t>
  </si>
  <si>
    <t>Year 1</t>
  </si>
  <si>
    <t>Year 2</t>
  </si>
  <si>
    <t>Year 3</t>
  </si>
  <si>
    <t>Year 4</t>
  </si>
  <si>
    <t>Year 5</t>
  </si>
  <si>
    <t>Revenue growth</t>
  </si>
  <si>
    <t>Bear</t>
  </si>
  <si>
    <t>Bull</t>
  </si>
  <si>
    <t>Live (selected scenario)</t>
  </si>
  <si>
    <t>EBIT margin</t>
  </si>
  <si>
    <t>Exit multiple (EV / EBITDA)</t>
  </si>
  <si>
    <t>x</t>
  </si>
  <si>
    <t>Cost of capital</t>
  </si>
  <si>
    <t>WACC, direct input</t>
  </si>
  <si>
    <t>Beta input type</t>
  </si>
  <si>
    <t>Levered</t>
  </si>
  <si>
    <t>Beta</t>
  </si>
  <si>
    <t>Market risk premium (illustrative example)</t>
  </si>
  <si>
    <t>Pre-tax cost of debt</t>
  </si>
  <si>
    <t>Target debt / total capital (D/V)</t>
  </si>
  <si>
    <t>Terminal value</t>
  </si>
  <si>
    <t>Terminal growth rate</t>
  </si>
  <si>
    <t>Equity bridge</t>
  </si>
  <si>
    <t>Cash and cash equivalents</t>
  </si>
  <si>
    <t>Financial debt</t>
  </si>
  <si>
    <t>Minority interests</t>
  </si>
  <si>
    <t>Non-operating investments</t>
  </si>
  <si>
    <t>Pension deficit, net</t>
  </si>
  <si>
    <t>Diluted shares outstanding</t>
  </si>
  <si>
    <t>m</t>
  </si>
  <si>
    <t>Current share price</t>
  </si>
  <si>
    <t>Year</t>
  </si>
  <si>
    <t>t</t>
  </si>
  <si>
    <t>Fiscal year</t>
  </si>
  <si>
    <t>FY</t>
  </si>
  <si>
    <t>In forecast period</t>
  </si>
  <si>
    <t>1 = yes</t>
  </si>
  <si>
    <t>Free cash flow build from EBIT</t>
  </si>
  <si>
    <t>Revenue</t>
  </si>
  <si>
    <t>EBIT</t>
  </si>
  <si>
    <t>Less taxes on EBIT</t>
  </si>
  <si>
    <t>NOPAT</t>
  </si>
  <si>
    <t>Plus depreciation and amortisation</t>
  </si>
  <si>
    <t>Less capital expenditure</t>
  </si>
  <si>
    <t>Less increase in net working capital</t>
  </si>
  <si>
    <t>Unlevered free cash flow (build)</t>
  </si>
  <si>
    <t>EBITDA</t>
  </si>
  <si>
    <t>Memo: FCF margin</t>
  </si>
  <si>
    <t>Memo: capex / D&amp;A</t>
  </si>
  <si>
    <t>FCF growth</t>
  </si>
  <si>
    <t>Free cash flow (direct)</t>
  </si>
  <si>
    <t>Selected for the valuation</t>
  </si>
  <si>
    <t>Free cash flow used in the DCF</t>
  </si>
  <si>
    <t>EBITDA used for the exit multiple</t>
  </si>
  <si>
    <t>Cost of equity (CAPM)</t>
  </si>
  <si>
    <t>Beta input</t>
  </si>
  <si>
    <t>Equity / total capital (E/V)</t>
  </si>
  <si>
    <t>Debt / equity (D/E)</t>
  </si>
  <si>
    <t>Tax rate</t>
  </si>
  <si>
    <t>Levered beta</t>
  </si>
  <si>
    <t>Market risk premium</t>
  </si>
  <si>
    <t>Cost of equity</t>
  </si>
  <si>
    <t>Rf + beta x MRP</t>
  </si>
  <si>
    <t>Cost of debt</t>
  </si>
  <si>
    <t>After-tax cost of debt</t>
  </si>
  <si>
    <t>WACC (CAPM)</t>
  </si>
  <si>
    <t>E/V x Ke + D/V x Kd x (1 - t)</t>
  </si>
  <si>
    <t>WACC (direct input)</t>
  </si>
  <si>
    <t>Comparison</t>
  </si>
  <si>
    <t>WACC implied by the current share price</t>
  </si>
  <si>
    <t>CAPM WACC less implied WACC</t>
  </si>
  <si>
    <t>Discounted cash flow</t>
  </si>
  <si>
    <t>Free cash flow</t>
  </si>
  <si>
    <t>Discount period</t>
  </si>
  <si>
    <t>Discount factor</t>
  </si>
  <si>
    <t>1 / (1 + WACC) ^ period</t>
  </si>
  <si>
    <t>Present value of free cash flow</t>
  </si>
  <si>
    <t>Final forecast year (N)</t>
  </si>
  <si>
    <t>Free cash flow in year N</t>
  </si>
  <si>
    <t>EBITDA in year N</t>
  </si>
  <si>
    <t>Terminal value, perpetuity growth</t>
  </si>
  <si>
    <t>FCF(N) x (1 + g) / (WACC - g)</t>
  </si>
  <si>
    <t>Terminal value, exit multiple</t>
  </si>
  <si>
    <t>EBITDA(N) x exit multiple</t>
  </si>
  <si>
    <t>Terminal value used</t>
  </si>
  <si>
    <t>Discount period of terminal value</t>
  </si>
  <si>
    <t>Present value of terminal value</t>
  </si>
  <si>
    <t>Cross-checks</t>
  </si>
  <si>
    <t>Implied exit multiple from perpetuity growth</t>
  </si>
  <si>
    <t>Implied terminal growth from exit multiple</t>
  </si>
  <si>
    <t>Enterprise value to equity value</t>
  </si>
  <si>
    <t>Sum of present values of free cash flows</t>
  </si>
  <si>
    <t>Enterprise value</t>
  </si>
  <si>
    <t>Plus cash and cash equivalents</t>
  </si>
  <si>
    <t>Less financial debt</t>
  </si>
  <si>
    <t>Less minority interests</t>
  </si>
  <si>
    <t>Plus non-operating investments</t>
  </si>
  <si>
    <t>Less pension deficit, net</t>
  </si>
  <si>
    <t>Equity value</t>
  </si>
  <si>
    <t>Value per share</t>
  </si>
  <si>
    <t>Upside / (downside) to current price</t>
  </si>
  <si>
    <t>Terminal value as share of enterprise value</t>
  </si>
  <si>
    <t>Memo: equity bridge adjustments</t>
  </si>
  <si>
    <t>Value per share: WACC (rows) and terminal growth (columns), perpetuity growth method</t>
  </si>
  <si>
    <t>WACC / g</t>
  </si>
  <si>
    <t>Value per share: WACC (rows) and exit multiple (columns), exit multiple method</t>
  </si>
  <si>
    <t>WACC / multiple</t>
  </si>
  <si>
    <t>Upside / (downside) to current share price: WACC and terminal growth</t>
  </si>
  <si>
    <t>Light blue: at or above the current share price. Light amber: below. Centre cell: DCF result.</t>
  </si>
  <si>
    <t>Result</t>
  </si>
  <si>
    <t>Value per share at implied growth</t>
  </si>
  <si>
    <t>Difference to share price</t>
  </si>
  <si>
    <t>Status</t>
  </si>
  <si>
    <t>Implied WACC (growth unchanged)</t>
  </si>
  <si>
    <t>Growth search: bisection</t>
  </si>
  <si>
    <t>Iteration</t>
  </si>
  <si>
    <t>Lower</t>
  </si>
  <si>
    <t>Upper</t>
  </si>
  <si>
    <t>Midpoint</t>
  </si>
  <si>
    <t>Value per share at midpoint</t>
  </si>
  <si>
    <t>Value less price</t>
  </si>
  <si>
    <t>Growth factor Y0</t>
  </si>
  <si>
    <t>Growth factor Y1</t>
  </si>
  <si>
    <t>Growth factor Y2</t>
  </si>
  <si>
    <t>Growth factor Y3</t>
  </si>
  <si>
    <t>Growth factor Y4</t>
  </si>
  <si>
    <t>Growth factor Y5</t>
  </si>
  <si>
    <t>Growth factor Y6</t>
  </si>
  <si>
    <t>Growth factor Y7</t>
  </si>
  <si>
    <t>Growth factor Y8</t>
  </si>
  <si>
    <t>Growth factor Y9</t>
  </si>
  <si>
    <t>Growth factor Y10</t>
  </si>
  <si>
    <t>Factor year N</t>
  </si>
  <si>
    <t>Factor year N-1</t>
  </si>
  <si>
    <t>FCF in year N</t>
  </si>
  <si>
    <t>PV of FCFs</t>
  </si>
  <si>
    <t>PV of terminal value</t>
  </si>
  <si>
    <t>Bounds and result</t>
  </si>
  <si>
    <t>At lower bound</t>
  </si>
  <si>
    <t>At upper bound</t>
  </si>
  <si>
    <t>At result</t>
  </si>
  <si>
    <t>WACC search: bisection (free cash flows unchanged)</t>
  </si>
  <si>
    <t>Model state</t>
  </si>
  <si>
    <t>Required inputs complete (1 = yes)</t>
  </si>
  <si>
    <t>Inputs usable (1 = yes): complete and shares above zero</t>
  </si>
  <si>
    <t>Valuation possible (1 = yes): terminal value method valid</t>
  </si>
  <si>
    <t>#</t>
  </si>
  <si>
    <t>Check</t>
  </si>
  <si>
    <t>What is checked</t>
  </si>
  <si>
    <t>Message</t>
  </si>
  <si>
    <t>Required inputs complete</t>
  </si>
  <si>
    <t>Blue cells needed for the chosen switches</t>
  </si>
  <si>
    <t>Diluted shares above zero</t>
  </si>
  <si>
    <t>Diluted shares on Inputs</t>
  </si>
  <si>
    <t>Terminal growth below WACC (perpetuity growth)</t>
  </si>
  <si>
    <t>WACC less terminal growth, must be positive</t>
  </si>
  <si>
    <t>Exit multiple used with the FCF build</t>
  </si>
  <si>
    <t>1 = FCF build selected</t>
  </si>
  <si>
    <t>Terminal growth at or below risk-free rate</t>
  </si>
  <si>
    <t>Terminal growth less risk-free rate</t>
  </si>
  <si>
    <t>Capital weights add up to 100%</t>
  </si>
  <si>
    <t>Debt and equity weights in the WACC</t>
  </si>
  <si>
    <t>Scenario selector valid</t>
  </si>
  <si>
    <t>Scenario is Bear, Base or Bull</t>
  </si>
  <si>
    <t>Forecast period is 5 or 10 years</t>
  </si>
  <si>
    <t>5 or 10 years on Inputs</t>
  </si>
  <si>
    <t>Enterprise value equals PV of FCFs plus PV of terminal value</t>
  </si>
  <si>
    <t>Difference to an independent recalculation</t>
  </si>
  <si>
    <t>Equity bridge adds up</t>
  </si>
  <si>
    <t>Sensitivity centre equals value per share</t>
  </si>
  <si>
    <t>Difference in CHF per share</t>
  </si>
  <si>
    <t>Reverse DCF growth converged</t>
  </si>
  <si>
    <t>Difference to share price in CHF</t>
  </si>
  <si>
    <t>Reverse DCF WACC converged</t>
  </si>
  <si>
    <t>Terminal value at most 75% of enterprise value</t>
  </si>
  <si>
    <t>Terminal value share of EV</t>
  </si>
  <si>
    <t>No negative free cash flow in the forecast</t>
  </si>
  <si>
    <t>Years with negative FCF</t>
  </si>
  <si>
    <t>Equity value positive</t>
  </si>
  <si>
    <t>Equity value in CHF m</t>
  </si>
  <si>
    <t>No error values in the model</t>
  </si>
  <si>
    <t>Cells with error values</t>
  </si>
  <si>
    <t>Scenario switch affects the model</t>
  </si>
  <si>
    <t>Summary</t>
  </si>
  <si>
    <t>Errors</t>
  </si>
  <si>
    <t>Warnings</t>
  </si>
  <si>
    <t>Overall status</t>
  </si>
  <si>
    <t>Model parameters</t>
  </si>
  <si>
    <t>Sensitivity step, WACC</t>
  </si>
  <si>
    <t>Sensitivity step, terminal growth</t>
  </si>
  <si>
    <t>Sensitivity step, exit multiple</t>
  </si>
  <si>
    <t>Reverse DCF growth search, lower bound</t>
  </si>
  <si>
    <t>Reverse DCF growth search, upper bound</t>
  </si>
  <si>
    <t>Reverse DCF WACC search, lower bound</t>
  </si>
  <si>
    <t>Reverse DCF WACC search, upper bound</t>
  </si>
  <si>
    <t>Minimum spread of WACC over terminal growth</t>
  </si>
  <si>
    <t>Tolerance for checks</t>
  </si>
  <si>
    <t>Tolerance for reverse DCF (CHF per share)</t>
  </si>
  <si>
    <t>Threshold for terminal value share of 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</si>
</sst>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gt;=0.005]#,##0.00_);[&lt;=-0.005](#,##0.00);&quot;-&quot;_)"/>
    <numFmt numFmtId="165" formatCode="[&gt;=0.0005]0.0%_);[&lt;=-0.0005](0.0%);&quot;-&quot;_)"/>
    <numFmt numFmtId="166" formatCode="[&gt;=0.00005]0.00%_);[&lt;=-0.00005](0.00%);&quot;-&quot;_)"/>
    <numFmt numFmtId="167" formatCode="dd mmm yyyy"/>
    <numFmt numFmtId="168" formatCode="0_)"/>
    <numFmt numFmtId="169" formatCode="[&gt;=0.05]0.0_);[&lt;=-0.05](0.0);&quot;-&quot;_)"/>
    <numFmt numFmtId="170" formatCode="[&gt;=0.05]#,##0.0_);[&lt;=-0.05](#,##0.0);&quot;-&quot;_)"/>
    <numFmt numFmtId="171" formatCode="[&gt;=0.05]0.0&quot;x&quot;_);[&lt;=-0.05](0.0&quot;x&quot;);&quot;-&quot;_)"/>
    <numFmt numFmtId="172" formatCode="[&gt;=0.005]0.00_);[&lt;=-0.005](0.00);&quot;-&quot;_)"/>
    <numFmt numFmtId="173" formatCode="[&gt;=0.00005]0.0000_);[&lt;=-0.00005](0.0000);&quot;-&quot;_)"/>
    <numFmt numFmtId="174" formatCode="0.000000"/>
  </numFmts>
  <fonts count="12" x14ac:knownFonts="1">
    <font>
      <color theme="1"/>
      <family val="2"/>
      <scheme val="minor"/>
      <sz val="11"/>
      <name val="Calibri"/>
    </font>
    <font>
      <color rgb="FF000000"/>
      <sz val="10"/>
      <name val="Arial"/>
    </font>
    <font>
      <b/>
      <color rgb="FF142030"/>
      <sz val="13"/>
      <name val="Arial"/>
    </font>
    <font>
      <color rgb="FF000000"/>
      <sz val="8"/>
      <name val="Arial"/>
    </font>
    <font>
      <b/>
      <color rgb="FF000000"/>
      <sz val="11"/>
      <name val="Arial"/>
    </font>
    <font>
      <color rgb="FF5B6B7F"/>
      <sz val="10"/>
      <name val="Arial"/>
    </font>
    <font>
      <b/>
      <color rgb="FF008000"/>
      <sz val="10"/>
      <name val="Arial"/>
    </font>
    <font>
      <color rgb="FF008000"/>
      <sz val="10"/>
      <name val="Arial"/>
    </font>
    <font>
      <color rgb="FF0000FF"/>
      <sz val="10"/>
      <name val="Arial"/>
    </font>
    <font>
      <u/>
      <color rgb="FF0000FF"/>
      <sz val="10"/>
      <name val="Arial"/>
    </font>
    <font>
      <b/>
      <color rgb="FF000000"/>
      <sz val="10"/>
      <name val="Arial"/>
    </font>
    <font>
      <color rgb="FF5B6B7F"/>
      <sz val="9"/>
      <name val="Arial"/>
    </font>
  </fonts>
  <fills count="4">
    <fill>
      <patternFill patternType="none"/>
    </fill>
    <fill>
      <patternFill patternType="gray125"/>
    </fill>
    <fill>
      <patternFill patternType="solid">
        <fgColor rgb="FFEEF4FB"/>
      </patternFill>
    </fill>
    <fill>
      <patternFill patternType="solid">
        <fgColor rgb="FFF5F7FA"/>
      </patternFill>
    </fill>
  </fills>
  <borders count="9">
    <border>
      <left/>
      <right/>
      <top/>
      <bottom/>
      <diagonal/>
    </border>
    <border>
      <left/>
      <right/>
      <top/>
      <bottom style="medium">
        <color rgb="FF142030"/>
      </bottom>
      <diagonal/>
    </border>
    <border>
      <left/>
      <right/>
      <top/>
      <bottom style="thin">
        <color rgb="FF965800"/>
      </bottom>
      <diagonal/>
    </border>
    <border>
      <left/>
      <right/>
      <top/>
      <bottom style="hair">
        <color rgb="FFD9DFE7"/>
      </bottom>
      <diagonal/>
    </border>
    <border>
      <left/>
      <right/>
      <top/>
      <bottom style="thin">
        <color rgb="FF000000"/>
      </bottom>
      <diagonal/>
    </border>
    <border>
      <left/>
      <right/>
      <top style="thin">
        <color rgb="FF000000"/>
      </top>
      <bottom/>
      <diagonal/>
    </border>
    <border>
      <left/>
      <right/>
      <top style="thin"/>
      <bottom style="double"/>
      <diagonal/>
    </border>
    <border>
      <left/>
      <right/>
      <top/>
      <bottom style="thin"/>
      <diagonal/>
    </border>
    <border>
      <left style="thin"/>
      <right style="thin"/>
      <top style="thin"/>
      <bottom style="thin"/>
      <diagonal/>
    </border>
  </borders>
  <cellStyleXfs count="1">
    <xf numFmtId="0" fontId="0" fillId="0" borderId="0"/>
  </cellStyleXfs>
  <cellXfs count="84">
    <xf numFmtId="0" fontId="0" fillId="0" borderId="0" xfId="0"/>
    <xf numFmtId="0" fontId="1" fillId="0" borderId="0" xfId="0" applyFont="1"/>
    <xf numFmtId="0" fontId="2" fillId="0" borderId="1" xfId="0" applyFont="1" applyBorder="1" applyAlignment="1">
      <alignment vertical="center"/>
    </xf>
    <xf numFmtId="0" fontId="1" fillId="0" borderId="1" xfId="0" applyFont="1" applyBorder="1"/>
    <xf numFmtId="49" fontId="3" fillId="0" borderId="0" xfId="0" applyNumberFormat="1" applyFont="1" applyAlignment="1">
      <alignment horizontal="left" vertical="top"/>
    </xf>
    <xf numFmtId="0" fontId="4" fillId="0" borderId="2" xfId="0" applyFont="1" applyBorder="1"/>
    <xf numFmtId="0" fontId="1" fillId="0" borderId="2" xfId="0" applyFont="1" applyBorder="1"/>
    <xf numFmtId="0" fontId="5" fillId="0" borderId="0" xfId="0" applyFont="1" applyAlignment="1">
      <alignment horizontal="left" vertical="bottom"/>
    </xf>
    <xf numFmtId="0" fontId="1" fillId="0" borderId="0" xfId="0" applyFont="1" applyAlignment="1">
      <alignment horizontal="left" vertical="bottom"/>
    </xf>
    <xf numFmtId="49" fontId="1" fillId="0" borderId="0" xfId="0" applyNumberFormat="1" applyFont="1" applyAlignment="1">
      <alignment horizontal="left"/>
    </xf>
    <xf numFmtId="49" fontId="6" fillId="0" borderId="0" xfId="0" applyNumberFormat="1" applyFont="1" applyAlignment="1">
      <alignment horizontal="left"/>
    </xf>
    <xf numFmtId="164" fontId="7" fillId="0" borderId="0" xfId="0" applyNumberFormat="1" applyFont="1" applyAlignment="1">
      <alignment horizontal="left"/>
    </xf>
    <xf numFmtId="165" fontId="7" fillId="0" borderId="0" xfId="0" applyNumberFormat="1" applyFont="1" applyAlignment="1">
      <alignment horizontal="left"/>
    </xf>
    <xf numFmtId="166" fontId="1" fillId="0" borderId="0" xfId="0" applyNumberFormat="1" applyFont="1" applyAlignment="1">
      <alignment horizontal="left"/>
    </xf>
    <xf numFmtId="166" fontId="7" fillId="0" borderId="0" xfId="0" applyNumberFormat="1" applyFont="1" applyAlignment="1">
      <alignment horizontal="left"/>
    </xf>
    <xf numFmtId="49" fontId="8" fillId="2" borderId="3" xfId="0" applyNumberFormat="1" applyFont="1" applyFill="1" applyBorder="1" applyAlignment="1">
      <alignment horizontal="left"/>
    </xf>
    <xf numFmtId="0" fontId="7" fillId="0" borderId="0" xfId="0" applyFont="1" applyAlignment="1">
      <alignment horizontal="left" vertical="bottom"/>
    </xf>
    <xf numFmtId="0" fontId="9" fillId="0" borderId="0" xfId="0" applyFont="1"/>
    <xf numFmtId="0" fontId="1" fillId="0" borderId="0" xfId="0" applyFont="1" applyAlignment="1">
      <alignment horizontal="left" vertical="top" wrapText="1"/>
    </xf>
    <xf numFmtId="0" fontId="1" fillId="0" borderId="0" xfId="0" applyFont="1" applyAlignment="1">
      <alignment horizontal="right" vertical="bottom"/>
    </xf>
    <xf numFmtId="1" fontId="8" fillId="2" borderId="3" xfId="0" applyNumberFormat="1" applyFont="1" applyFill="1" applyBorder="1"/>
    <xf numFmtId="167" fontId="1" fillId="0" borderId="0" xfId="0" applyNumberFormat="1" applyFont="1" applyAlignment="1">
      <alignment horizontal="right"/>
    </xf>
    <xf numFmtId="168" fontId="8" fillId="2" borderId="3" xfId="0" applyNumberFormat="1" applyFont="1" applyFill="1" applyBorder="1"/>
    <xf numFmtId="49" fontId="8" fillId="2" borderId="3" xfId="0" applyNumberFormat="1" applyFont="1" applyFill="1" applyBorder="1" applyAlignment="1">
      <alignment horizontal="right"/>
    </xf>
    <xf numFmtId="169" fontId="1" fillId="0" borderId="0" xfId="0" applyNumberFormat="1" applyFont="1" applyAlignment="1">
      <alignment horizontal="right"/>
    </xf>
    <xf numFmtId="168" fontId="1" fillId="0" borderId="0" xfId="0" applyNumberFormat="1" applyFont="1" applyAlignment="1">
      <alignment horizontal="right"/>
    </xf>
    <xf numFmtId="170" fontId="8" fillId="2" borderId="3" xfId="0" applyNumberFormat="1" applyFont="1" applyFill="1" applyBorder="1"/>
    <xf numFmtId="165" fontId="8" fillId="2" borderId="3" xfId="0" applyNumberFormat="1" applyFont="1" applyFill="1" applyBorder="1"/>
    <xf numFmtId="0" fontId="5" fillId="0" borderId="0" xfId="0" applyFont="1" applyAlignment="1">
      <alignment horizontal="right" vertical="bottom"/>
    </xf>
    <xf numFmtId="0" fontId="10" fillId="0" borderId="0" xfId="0" applyFont="1"/>
    <xf numFmtId="0" fontId="1" fillId="0" borderId="0" xfId="0" applyFont="1" applyAlignment="1">
      <alignment indent="1"/>
    </xf>
    <xf numFmtId="0" fontId="10" fillId="0" borderId="0" xfId="0" applyFont="1" applyAlignment="1">
      <alignment indent="1"/>
    </xf>
    <xf numFmtId="165" fontId="10" fillId="0" borderId="0" xfId="0" applyNumberFormat="1" applyFont="1" applyAlignment="1">
      <alignment horizontal="right"/>
    </xf>
    <xf numFmtId="171" fontId="8" fillId="2" borderId="3" xfId="0" applyNumberFormat="1" applyFont="1" applyFill="1" applyBorder="1"/>
    <xf numFmtId="171" fontId="10" fillId="0" borderId="0" xfId="0" applyNumberFormat="1" applyFont="1" applyAlignment="1">
      <alignment horizontal="right"/>
    </xf>
    <xf numFmtId="166" fontId="8" fillId="2" borderId="3" xfId="0" applyNumberFormat="1" applyFont="1" applyFill="1" applyBorder="1"/>
    <xf numFmtId="172" fontId="8" fillId="2" borderId="3" xfId="0" applyNumberFormat="1" applyFont="1" applyFill="1" applyBorder="1"/>
    <xf numFmtId="164" fontId="8" fillId="2" borderId="3" xfId="0" applyNumberFormat="1" applyFont="1" applyFill="1" applyBorder="1"/>
    <xf numFmtId="168" fontId="10" fillId="0" borderId="0" xfId="0" applyNumberFormat="1" applyFont="1" applyAlignment="1">
      <alignment horizontal="right"/>
    </xf>
    <xf numFmtId="1" fontId="10" fillId="0" borderId="4" xfId="0" applyNumberFormat="1" applyFont="1" applyBorder="1" applyAlignment="1">
      <alignment horizontal="right"/>
    </xf>
    <xf numFmtId="165" fontId="7" fillId="0" borderId="0" xfId="0" applyNumberFormat="1" applyFont="1" applyAlignment="1">
      <alignment horizontal="right"/>
    </xf>
    <xf numFmtId="165" fontId="1" fillId="0" borderId="0" xfId="0" applyNumberFormat="1" applyFont="1" applyAlignment="1">
      <alignment horizontal="right"/>
    </xf>
    <xf numFmtId="170" fontId="7" fillId="0" borderId="0" xfId="0" applyNumberFormat="1" applyFont="1" applyAlignment="1">
      <alignment horizontal="right"/>
    </xf>
    <xf numFmtId="170" fontId="1" fillId="0" borderId="0" xfId="0" applyNumberFormat="1" applyFont="1" applyAlignment="1">
      <alignment horizontal="right"/>
    </xf>
    <xf numFmtId="170" fontId="10" fillId="0" borderId="5" xfId="0" applyNumberFormat="1" applyFont="1" applyBorder="1" applyAlignment="1">
      <alignment horizontal="right"/>
    </xf>
    <xf numFmtId="171" fontId="1" fillId="0" borderId="0" xfId="0" applyNumberFormat="1" applyFont="1" applyAlignment="1">
      <alignment horizontal="right"/>
    </xf>
    <xf numFmtId="170" fontId="10" fillId="0" borderId="6" xfId="0" applyNumberFormat="1" applyFont="1" applyBorder="1" applyAlignment="1">
      <alignment horizontal="right"/>
    </xf>
    <xf numFmtId="166" fontId="7" fillId="0" borderId="0" xfId="0" applyNumberFormat="1" applyFont="1" applyAlignment="1">
      <alignment horizontal="right"/>
    </xf>
    <xf numFmtId="49" fontId="7" fillId="0" borderId="0" xfId="0" applyNumberFormat="1" applyFont="1" applyAlignment="1">
      <alignment horizontal="right"/>
    </xf>
    <xf numFmtId="172" fontId="7" fillId="0" borderId="0" xfId="0" applyNumberFormat="1" applyFont="1" applyAlignment="1">
      <alignment horizontal="right"/>
    </xf>
    <xf numFmtId="172" fontId="1" fillId="0" borderId="0" xfId="0" applyNumberFormat="1" applyFont="1" applyAlignment="1">
      <alignment horizontal="right"/>
    </xf>
    <xf numFmtId="0" fontId="11" fillId="0" borderId="0" xfId="0" applyFont="1" applyAlignment="1">
      <alignment horizontal="left" vertical="bottom"/>
    </xf>
    <xf numFmtId="166" fontId="10" fillId="0" borderId="5" xfId="0" applyNumberFormat="1" applyFont="1" applyBorder="1" applyAlignment="1">
      <alignment horizontal="right"/>
    </xf>
    <xf numFmtId="166" fontId="1" fillId="0" borderId="0" xfId="0" applyNumberFormat="1" applyFont="1" applyAlignment="1">
      <alignment horizontal="right"/>
    </xf>
    <xf numFmtId="166" fontId="10" fillId="0" borderId="6" xfId="0" applyNumberFormat="1" applyFont="1" applyBorder="1" applyAlignment="1">
      <alignment horizontal="right"/>
    </xf>
    <xf numFmtId="168" fontId="6" fillId="0" borderId="0" xfId="0" applyNumberFormat="1" applyFont="1" applyAlignment="1">
      <alignment horizontal="right"/>
    </xf>
    <xf numFmtId="1" fontId="6" fillId="0" borderId="4" xfId="0" applyNumberFormat="1" applyFont="1" applyBorder="1" applyAlignment="1">
      <alignment horizontal="right"/>
    </xf>
    <xf numFmtId="168" fontId="7" fillId="0" borderId="0" xfId="0" applyNumberFormat="1" applyFont="1" applyAlignment="1">
      <alignment horizontal="right"/>
    </xf>
    <xf numFmtId="173" fontId="1" fillId="0" borderId="0" xfId="0" applyNumberFormat="1" applyFont="1" applyAlignment="1">
      <alignment horizontal="right"/>
    </xf>
    <xf numFmtId="171" fontId="7" fillId="0" borderId="0" xfId="0" applyNumberFormat="1" applyFont="1" applyAlignment="1">
      <alignment horizontal="right"/>
    </xf>
    <xf numFmtId="164" fontId="10" fillId="0" borderId="6" xfId="0" applyNumberFormat="1" applyFont="1" applyBorder="1" applyAlignment="1">
      <alignment horizontal="right"/>
    </xf>
    <xf numFmtId="164" fontId="7" fillId="0" borderId="0" xfId="0" applyNumberFormat="1" applyFont="1" applyAlignment="1">
      <alignment horizontal="right"/>
    </xf>
    <xf numFmtId="165" fontId="10" fillId="0" borderId="7" xfId="0" applyNumberFormat="1" applyFont="1" applyBorder="1" applyAlignment="1">
      <alignment horizontal="right"/>
    </xf>
    <xf numFmtId="165" fontId="6" fillId="0" borderId="7" xfId="0" applyNumberFormat="1" applyFont="1" applyBorder="1" applyAlignment="1">
      <alignment horizontal="right"/>
    </xf>
    <xf numFmtId="166" fontId="10" fillId="0" borderId="0" xfId="0" applyNumberFormat="1" applyFont="1" applyAlignment="1">
      <alignment horizontal="right"/>
    </xf>
    <xf numFmtId="164" fontId="1" fillId="0" borderId="0" xfId="0" applyNumberFormat="1" applyFont="1" applyAlignment="1">
      <alignment horizontal="right"/>
    </xf>
    <xf numFmtId="166" fontId="6" fillId="0" borderId="0" xfId="0" applyNumberFormat="1" applyFont="1" applyAlignment="1">
      <alignment horizontal="right"/>
    </xf>
    <xf numFmtId="164" fontId="10" fillId="0" borderId="8" xfId="0" applyNumberFormat="1" applyFont="1" applyBorder="1" applyAlignment="1">
      <alignment horizontal="right"/>
    </xf>
    <xf numFmtId="171" fontId="10" fillId="0" borderId="7" xfId="0" applyNumberFormat="1" applyFont="1" applyBorder="1" applyAlignment="1">
      <alignment horizontal="right"/>
    </xf>
    <xf numFmtId="171" fontId="6" fillId="0" borderId="7" xfId="0" applyNumberFormat="1" applyFont="1" applyBorder="1" applyAlignment="1">
      <alignment horizontal="right"/>
    </xf>
    <xf numFmtId="165" fontId="10" fillId="0" borderId="8" xfId="0" applyNumberFormat="1" applyFont="1" applyBorder="1" applyAlignment="1">
      <alignment horizontal="right"/>
    </xf>
    <xf numFmtId="165" fontId="10" fillId="0" borderId="6" xfId="0" applyNumberFormat="1" applyFont="1" applyBorder="1" applyAlignment="1">
      <alignment horizontal="right"/>
    </xf>
    <xf numFmtId="173" fontId="7" fillId="0" borderId="0" xfId="0" applyNumberFormat="1" applyFont="1" applyAlignment="1">
      <alignment horizontal="right"/>
    </xf>
    <xf numFmtId="49" fontId="1" fillId="0" borderId="0" xfId="0" applyNumberFormat="1" applyFont="1" applyAlignment="1">
      <alignment horizontal="right"/>
    </xf>
    <xf numFmtId="49" fontId="10" fillId="0" borderId="0" xfId="0" applyNumberFormat="1" applyFont="1" applyAlignment="1">
      <alignment horizontal="left" vertical="center" wrapText="1"/>
    </xf>
    <xf numFmtId="0" fontId="10" fillId="3" borderId="7" xfId="0" applyFont="1" applyFill="1" applyBorder="1" applyAlignment="1">
      <alignment horizontal="left" vertical="top" wrapText="1"/>
    </xf>
    <xf numFmtId="0" fontId="10" fillId="3" borderId="7" xfId="0" applyFont="1" applyFill="1" applyBorder="1" applyAlignment="1">
      <alignment horizontal="right" vertical="top" wrapText="1"/>
    </xf>
    <xf numFmtId="0" fontId="10" fillId="0" borderId="0" xfId="0" applyFont="1" applyAlignment="1">
      <alignment horizontal="left" vertical="bottom"/>
    </xf>
    <xf numFmtId="0" fontId="10" fillId="0" borderId="7" xfId="0" applyFont="1" applyBorder="1" applyAlignment="1">
      <alignment horizontal="left" vertical="bottom"/>
    </xf>
    <xf numFmtId="0" fontId="10" fillId="0" borderId="7" xfId="0" applyFont="1" applyBorder="1" applyAlignment="1">
      <alignment horizontal="right" vertical="bottom"/>
    </xf>
    <xf numFmtId="0" fontId="10" fillId="0" borderId="7" xfId="0" applyFont="1" applyBorder="1" applyAlignment="1">
      <alignment horizontal="center"/>
    </xf>
    <xf numFmtId="49" fontId="1" fillId="0" borderId="0" xfId="0" applyNumberFormat="1" applyFont="1" applyAlignment="1">
      <alignment horizontal="center"/>
    </xf>
    <xf numFmtId="174" fontId="8" fillId="2" borderId="3" xfId="0" applyNumberFormat="1" applyFont="1" applyFill="1" applyBorder="1"/>
    <xf numFmtId="173" fontId="8" fillId="2" borderId="3" xfId="0" applyNumberFormat="1" applyFont="1" applyFill="1" applyBorder="1"/>
  </cellXfs>
  <cellStyles count="1">
    <cellStyle name="Normal" xfId="0" builtinId="0"/>
  </cellStyles>
  <dxfs count="16">
    <dxf>
      <font>
        <b/>
        <color rgb="FFB3261E"/>
      </font>
    </dxf>
    <dxf>
      <font>
        <color rgb="FFB4BDC8"/>
      </font>
    </dxf>
    <dxf>
      <font>
        <color rgb="FFB4BDC8"/>
      </font>
    </dxf>
    <dxf>
      <font>
        <color rgb="FFB4BDC8"/>
      </font>
    </dxf>
    <dxf>
      <font>
        <color rgb="FFB4BDC8"/>
      </font>
    </dxf>
    <dxf>
      <font>
        <color rgb="FFB4BDC8"/>
      </font>
    </dxf>
    <dxf>
      <font>
        <color rgb="FFB4BDC8"/>
      </font>
    </dxf>
    <dxf>
      <fill>
        <patternFill patternType="solid">
          <bgColor rgb="FFE3EDF8"/>
        </patternFill>
      </fill>
    </dxf>
    <dxf>
      <fill>
        <patternFill patternType="solid">
          <bgColor rgb="FFF8EBD9"/>
        </patternFill>
      </fill>
    </dxf>
    <dxf>
      <fill>
        <patternFill patternType="solid">
          <bgColor rgb="FFE3EDF8"/>
        </patternFill>
      </fill>
    </dxf>
    <dxf>
      <fill>
        <patternFill patternType="solid">
          <bgColor rgb="FFF8EBD9"/>
        </patternFill>
      </fill>
    </dxf>
    <dxf>
      <fill>
        <patternFill patternType="solid">
          <bgColor rgb="FFE3EDF8"/>
        </patternFill>
      </fill>
    </dxf>
    <dxf>
      <fill>
        <patternFill patternType="solid">
          <bgColor rgb="FFF8EBD9"/>
        </patternFill>
      </fill>
    </dxf>
    <dxf>
      <font>
        <b/>
        <color rgb="FFB3261E"/>
      </font>
    </dxf>
    <dxf>
      <font>
        <b/>
        <color rgb="FF965800"/>
      </font>
    </dxf>
    <dxf>
      <font>
        <color rgb="FF5B6B7F"/>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Inputs&apos;!A1" TargetMode="External"/><Relationship Id="rId2" Type="http://schemas.openxmlformats.org/officeDocument/2006/relationships/hyperlink" Target="#&apos;FCF Build&apos;!A1" TargetMode="External"/><Relationship Id="rId3" Type="http://schemas.openxmlformats.org/officeDocument/2006/relationships/hyperlink" Target="#&apos;WACC&apos;!A1" TargetMode="External"/><Relationship Id="rId4" Type="http://schemas.openxmlformats.org/officeDocument/2006/relationships/hyperlink" Target="#&apos;DCF&apos;!A1" TargetMode="External"/><Relationship Id="rId5" Type="http://schemas.openxmlformats.org/officeDocument/2006/relationships/hyperlink" Target="#&apos;Sensitivities&apos;!A1" TargetMode="External"/><Relationship Id="rId6" Type="http://schemas.openxmlformats.org/officeDocument/2006/relationships/hyperlink" Target="#&apos;Reverse DCF&apos;!A1" TargetMode="External"/><Relationship Id="rId7" Type="http://schemas.openxmlformats.org/officeDocument/2006/relationships/hyperlink" Target="#&apos;Checks&apos;!A1" TargetMode="External"/><Relationship Id="rId8" Type="http://schemas.openxmlformats.org/officeDocument/2006/relationships/hyperlink" Target="#&apos;Settings&apos;!A1" TargetMode="External"/><Relationship Id="rId9" Type="http://schemas.openxmlformats.org/officeDocument/2006/relationships/comments" Target="../comments1.xml"/><Relationship Id="rId10"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C45"/>
  <sheetViews>
    <sheetView workbookViewId="0" showGridLines="0" zoomScale="100"/>
  </sheetViews>
  <sheetFormatPr defaultRowHeight="15" outlineLevelRow="0" outlineLevelCol="0" x14ac:dyDescent="55"/>
  <cols>
    <col min="1" max="1" width="2" style="1" customWidth="1"/>
    <col min="2" max="2" width="30" style="1" customWidth="1"/>
    <col min="3" max="3" width="72" style="1" customWidth="1"/>
    <col min="4" max="4" width="4" style="1" customWidth="1"/>
  </cols>
  <sheetData>
    <row r="1" ht="21" customHeight="1" spans="2:3" x14ac:dyDescent="0.25">
      <c r="B1" s="2" t="s">
        <v>0</v>
      </c>
      <c r="C1" s="3"/>
    </row>
    <row r="2" ht="16" customHeight="1" spans="2:2" x14ac:dyDescent="0.25">
      <c r="B2" s="4">
        <f>IF(Company_Name="","Company not specified",Company_Name)&amp;"   |   CHF m unless stated otherwise   |   Scenario: "&amp;IF(Build_Flag=1,Scenario,"not used (direct FCF)")&amp;"   |   Checks: "&amp;Check_Status</f>
      </c>
    </row>
    <row r="4" ht="18" customHeight="1" spans="2:3" x14ac:dyDescent="0.25">
      <c r="B4" s="5" t="s">
        <v>1</v>
      </c>
      <c r="C4" s="6"/>
    </row>
    <row r="5" spans="2:3" x14ac:dyDescent="0.25">
      <c r="B5" s="7" t="s">
        <v>2</v>
      </c>
      <c r="C5" s="8" t="s">
        <v>3</v>
      </c>
    </row>
    <row r="6" spans="2:3" x14ac:dyDescent="0.25">
      <c r="B6" s="7" t="s">
        <v>4</v>
      </c>
      <c r="C6" s="8" t="s">
        <v>5</v>
      </c>
    </row>
    <row r="7" spans="2:3" x14ac:dyDescent="0.25">
      <c r="B7" s="7" t="s">
        <v>6</v>
      </c>
      <c r="C7" s="8" t="s">
        <v>7</v>
      </c>
    </row>
    <row r="8" spans="2:3" x14ac:dyDescent="0.25">
      <c r="B8" s="7" t="s">
        <v>8</v>
      </c>
      <c r="C8" s="8" t="s">
        <v>9</v>
      </c>
    </row>
    <row r="9" spans="2:3" x14ac:dyDescent="0.25">
      <c r="B9" s="7" t="s">
        <v>10</v>
      </c>
      <c r="C9" s="9">
        <f>IF(Company_Name="","(not specified)",Company_Name)</f>
      </c>
    </row>
    <row r="11" ht="18" customHeight="1" spans="2:3" x14ac:dyDescent="0.25">
      <c r="B11" s="5" t="s">
        <v>11</v>
      </c>
      <c r="C11" s="6"/>
    </row>
    <row r="12" spans="2:3" x14ac:dyDescent="0.25">
      <c r="B12" s="7" t="s">
        <v>12</v>
      </c>
      <c r="C12" s="10">
        <f>Check_Status</f>
      </c>
    </row>
    <row r="13" spans="2:3" x14ac:dyDescent="0.25">
      <c r="B13" s="7" t="s">
        <v>13</v>
      </c>
      <c r="C13" s="11">
        <f>Value_Per_Share</f>
      </c>
    </row>
    <row r="14" spans="2:3" x14ac:dyDescent="0.25">
      <c r="B14" s="7" t="s">
        <v>14</v>
      </c>
      <c r="C14" s="11">
        <f>Share_Price</f>
      </c>
    </row>
    <row r="15" spans="2:3" x14ac:dyDescent="0.25">
      <c r="B15" s="7" t="s">
        <v>15</v>
      </c>
      <c r="C15" s="12">
        <f>Implied_Growth</f>
      </c>
    </row>
    <row r="16" spans="2:3" x14ac:dyDescent="0.25">
      <c r="B16" s="7" t="s">
        <v>16</v>
      </c>
      <c r="C16" s="13">
        <f>IF(Inputs_OK=1,WACC,"n/a")</f>
      </c>
    </row>
    <row r="17" spans="2:3" x14ac:dyDescent="0.25">
      <c r="B17" s="7" t="s">
        <v>17</v>
      </c>
      <c r="C17" s="13">
        <f>IF(AND(COUNT(Rf,Beta_Input,MRP)=3,COUNT(Cost_Of_Debt,Target_DV,Tax_Rate)=3),WACC_CAPM,"n/a")</f>
      </c>
    </row>
    <row r="18" spans="2:3" x14ac:dyDescent="0.25">
      <c r="B18" s="7" t="s">
        <v>18</v>
      </c>
      <c r="C18" s="14">
        <f>Implied_WACC</f>
      </c>
    </row>
    <row r="20" ht="18" customHeight="1" spans="2:3" x14ac:dyDescent="0.25">
      <c r="B20" s="5" t="s">
        <v>19</v>
      </c>
      <c r="C20" s="6"/>
    </row>
    <row r="21" spans="2:3" x14ac:dyDescent="0.25">
      <c r="B21" s="15" t="s">
        <v>20</v>
      </c>
      <c r="C21" s="8" t="s">
        <v>21</v>
      </c>
    </row>
    <row r="22" spans="2:3" x14ac:dyDescent="0.25">
      <c r="B22" s="8" t="s">
        <v>20</v>
      </c>
      <c r="C22" s="8" t="s">
        <v>22</v>
      </c>
    </row>
    <row r="23" spans="2:3" x14ac:dyDescent="0.25">
      <c r="B23" s="16" t="s">
        <v>20</v>
      </c>
      <c r="C23" s="8" t="s">
        <v>23</v>
      </c>
    </row>
    <row r="25" ht="18" customHeight="1" spans="2:3" x14ac:dyDescent="0.25">
      <c r="B25" s="5" t="s">
        <v>24</v>
      </c>
      <c r="C25" s="6"/>
    </row>
    <row r="26" spans="2:3" x14ac:dyDescent="0.25">
      <c r="B26" s="17" t="s">
        <v>25</v>
      </c>
      <c r="C26" s="8" t="s">
        <v>26</v>
      </c>
    </row>
    <row r="27" spans="2:3" x14ac:dyDescent="0.25">
      <c r="B27" s="17" t="s">
        <v>27</v>
      </c>
      <c r="C27" s="8" t="s">
        <v>28</v>
      </c>
    </row>
    <row r="28" spans="2:3" x14ac:dyDescent="0.25">
      <c r="B28" s="17" t="s">
        <v>29</v>
      </c>
      <c r="C28" s="8" t="s">
        <v>30</v>
      </c>
    </row>
    <row r="29" spans="2:3" x14ac:dyDescent="0.25">
      <c r="B29" s="17" t="s">
        <v>31</v>
      </c>
      <c r="C29" s="8" t="s">
        <v>32</v>
      </c>
    </row>
    <row r="30" spans="2:3" x14ac:dyDescent="0.25">
      <c r="B30" s="17" t="s">
        <v>33</v>
      </c>
      <c r="C30" s="8" t="s">
        <v>34</v>
      </c>
    </row>
    <row r="31" spans="2:3" x14ac:dyDescent="0.25">
      <c r="B31" s="17" t="s">
        <v>35</v>
      </c>
      <c r="C31" s="8" t="s">
        <v>36</v>
      </c>
    </row>
    <row r="32" spans="2:3" x14ac:dyDescent="0.25">
      <c r="B32" s="17" t="s">
        <v>37</v>
      </c>
      <c r="C32" s="8" t="s">
        <v>38</v>
      </c>
    </row>
    <row r="33" spans="2:3" x14ac:dyDescent="0.25">
      <c r="B33" s="17" t="s">
        <v>39</v>
      </c>
      <c r="C33" s="8" t="s">
        <v>40</v>
      </c>
    </row>
    <row r="35" ht="18" customHeight="1" spans="2:3" x14ac:dyDescent="0.25">
      <c r="B35" s="5" t="s">
        <v>41</v>
      </c>
      <c r="C35" s="6"/>
    </row>
    <row r="36" ht="26" customHeight="1" spans="2:3" x14ac:dyDescent="0.25">
      <c r="B36" s="7" t="s">
        <v>42</v>
      </c>
      <c r="C36" s="18" t="s">
        <v>43</v>
      </c>
    </row>
    <row r="37" spans="2:3" x14ac:dyDescent="0.25">
      <c r="B37" s="7" t="s">
        <v>44</v>
      </c>
      <c r="C37" s="18" t="s">
        <v>45</v>
      </c>
    </row>
    <row r="38" spans="2:3" x14ac:dyDescent="0.25">
      <c r="B38" s="7" t="s">
        <v>46</v>
      </c>
      <c r="C38" s="18" t="s">
        <v>47</v>
      </c>
    </row>
    <row r="39" ht="26" customHeight="1" spans="2:3" x14ac:dyDescent="0.25">
      <c r="B39" s="7" t="s">
        <v>48</v>
      </c>
      <c r="C39" s="18" t="s">
        <v>49</v>
      </c>
    </row>
    <row r="41" ht="18" customHeight="1" spans="2:3" x14ac:dyDescent="0.25">
      <c r="B41" s="5" t="s">
        <v>50</v>
      </c>
      <c r="C41" s="6"/>
    </row>
    <row r="42" spans="2:3" x14ac:dyDescent="0.25">
      <c r="B42" s="18" t="s">
        <v>51</v>
      </c>
      <c r="C42" s="18"/>
    </row>
    <row r="43" spans="2:3" x14ac:dyDescent="0.25">
      <c r="B43" s="18"/>
      <c r="C43" s="18"/>
    </row>
    <row r="44" spans="2:3" x14ac:dyDescent="0.25">
      <c r="B44" s="18"/>
      <c r="C44" s="18"/>
    </row>
    <row r="45" spans="2:3" x14ac:dyDescent="0.25">
      <c r="B45" s="18"/>
      <c r="C45" s="18"/>
    </row>
  </sheetData>
  <mergeCells count="1">
    <mergeCell ref="B42:C45"/>
  </mergeCells>
  <conditionalFormatting sqref="C12">
    <cfRule type="expression" dxfId="0" priority="1">
      <formula>Check_Errors&gt;0</formula>
    </cfRule>
  </conditionalFormatting>
  <hyperlinks>
    <hyperlink ref="B26" r:id="rId1" location="#'Inputs'!A1"/>
    <hyperlink ref="B27" r:id="rId2" location="#'FCF Build'!A1"/>
    <hyperlink ref="B28" r:id="rId3" location="#'WACC'!A1"/>
    <hyperlink ref="B29" r:id="rId4" location="#'DCF'!A1"/>
    <hyperlink ref="B30" r:id="rId5" location="#'Sensitivities'!A1"/>
    <hyperlink ref="B31" r:id="rId6" location="#'Reverse DCF'!A1"/>
    <hyperlink ref="B32" r:id="rId7" location="#'Checks'!A1"/>
    <hyperlink ref="B33" r:id="rId8" location="#'Settings'!A1"/>
  </hyperlinks>
  <pageMargins left="0.5" right="0.5" top="0.6" bottom="0.6" header="0.3" footer="0.3"/>
  <pageSetup paperSize="9" orientation="portrait" fitToWidth="1" fitToHeight="1"/>
  <headerFooter>
    <oddFooter>&amp;L&amp;"Arial"&amp;8Swiss DCF Model v1.0.0&amp;C&amp;"Arial"&amp;8&amp;A&amp;R&amp;"Arial"&amp;8Page &amp;P of &amp;N</oddFooter>
  </headerFooter>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J74"/>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44" style="1" customWidth="1"/>
    <col min="3" max="3" width="12" style="1" customWidth="1"/>
    <col min="4" max="4" width="2" style="1" customWidth="1"/>
    <col min="5" max="5" width="14" style="1" customWidth="1"/>
    <col min="6" max="10" width="11" style="1" customWidth="1"/>
  </cols>
  <sheetData>
    <row r="1" ht="21" customHeight="1" spans="2:10" x14ac:dyDescent="0.25">
      <c r="B1" s="2" t="s">
        <v>25</v>
      </c>
      <c r="C1" s="3"/>
      <c r="D1" s="3"/>
      <c r="E1" s="3"/>
      <c r="F1" s="3"/>
      <c r="G1" s="3"/>
      <c r="H1" s="3"/>
      <c r="I1" s="3"/>
      <c r="J1" s="3"/>
    </row>
    <row r="2" ht="16" customHeight="1" spans="2:2" x14ac:dyDescent="0.25">
      <c r="B2" s="4">
        <f>IF(Company_Name="","Company not specified",Company_Name)&amp;"   |   CHF m unless stated otherwise   |   Scenario: "&amp;IF(Build_Flag=1,Scenario,"not used (direct FCF)")&amp;"   |   Checks: "&amp;Check_Status</f>
      </c>
    </row>
    <row r="4" ht="18" customHeight="1" spans="2:10" x14ac:dyDescent="0.25">
      <c r="B4" s="5" t="s">
        <v>52</v>
      </c>
      <c r="C4" s="6"/>
      <c r="D4" s="6"/>
      <c r="E4" s="6"/>
      <c r="F4" s="6"/>
      <c r="G4" s="6"/>
      <c r="H4" s="6"/>
      <c r="I4" s="6"/>
      <c r="J4" s="6"/>
    </row>
    <row r="5" spans="2:5" x14ac:dyDescent="0.25">
      <c r="B5" s="1" t="s">
        <v>53</v>
      </c>
      <c r="E5" s="15"/>
    </row>
    <row r="6" spans="2:5" x14ac:dyDescent="0.25">
      <c r="B6" s="1" t="s">
        <v>54</v>
      </c>
      <c r="E6" s="19" t="s">
        <v>55</v>
      </c>
    </row>
    <row r="7" spans="2:5" x14ac:dyDescent="0.25">
      <c r="B7" s="1" t="s">
        <v>56</v>
      </c>
      <c r="C7" s="7" t="s">
        <v>57</v>
      </c>
      <c r="E7" s="20"/>
    </row>
    <row r="8" spans="2:5" x14ac:dyDescent="0.25">
      <c r="B8" s="1" t="s">
        <v>58</v>
      </c>
      <c r="C8" s="7" t="s">
        <v>59</v>
      </c>
      <c r="E8" s="21">
        <f>IF(ISNUMBER(Base_Year),DATE(Base_Year,12,31),"n/a")</f>
      </c>
    </row>
    <row r="10" ht="18" customHeight="1" spans="2:10" x14ac:dyDescent="0.25">
      <c r="B10" s="5" t="s">
        <v>60</v>
      </c>
      <c r="C10" s="6"/>
      <c r="D10" s="6"/>
      <c r="E10" s="6"/>
      <c r="F10" s="6"/>
      <c r="G10" s="6"/>
      <c r="H10" s="6"/>
      <c r="I10" s="6"/>
      <c r="J10" s="6"/>
    </row>
    <row r="11" spans="2:5" x14ac:dyDescent="0.25">
      <c r="B11" s="1" t="s">
        <v>61</v>
      </c>
      <c r="C11" s="7" t="s">
        <v>62</v>
      </c>
      <c r="E11" s="22">
        <v>5</v>
      </c>
    </row>
    <row r="12" spans="2:5" x14ac:dyDescent="0.25">
      <c r="B12" s="1" t="s">
        <v>63</v>
      </c>
      <c r="E12" s="23" t="s">
        <v>64</v>
      </c>
    </row>
    <row r="13" spans="2:5" x14ac:dyDescent="0.25">
      <c r="B13" s="1" t="s">
        <v>65</v>
      </c>
      <c r="E13" s="23" t="s">
        <v>66</v>
      </c>
    </row>
    <row r="14" spans="2:5" x14ac:dyDescent="0.25">
      <c r="B14" s="1" t="s">
        <v>67</v>
      </c>
      <c r="E14" s="23" t="s">
        <v>68</v>
      </c>
    </row>
    <row r="15" spans="2:5" x14ac:dyDescent="0.25">
      <c r="B15" s="1" t="s">
        <v>69</v>
      </c>
      <c r="E15" s="23" t="s">
        <v>68</v>
      </c>
    </row>
    <row r="16" spans="2:5" x14ac:dyDescent="0.25">
      <c r="B16" s="1" t="s">
        <v>70</v>
      </c>
      <c r="E16" s="23" t="s">
        <v>71</v>
      </c>
    </row>
    <row r="18" ht="18" customHeight="1" spans="2:10" x14ac:dyDescent="0.25">
      <c r="B18" s="5" t="s">
        <v>72</v>
      </c>
      <c r="C18" s="6"/>
      <c r="D18" s="6"/>
      <c r="E18" s="6"/>
      <c r="F18" s="6"/>
      <c r="G18" s="6"/>
      <c r="H18" s="6"/>
      <c r="I18" s="6"/>
      <c r="J18" s="6"/>
    </row>
    <row r="19" spans="2:5" x14ac:dyDescent="0.25">
      <c r="B19" s="1" t="s">
        <v>73</v>
      </c>
      <c r="C19" s="7" t="s">
        <v>62</v>
      </c>
      <c r="E19" s="24">
        <f>IF(Discounting="Mid-year",0.5,0)</f>
      </c>
    </row>
    <row r="20" spans="2:5" x14ac:dyDescent="0.25">
      <c r="B20" s="1" t="s">
        <v>74</v>
      </c>
      <c r="C20" s="7" t="s">
        <v>75</v>
      </c>
      <c r="E20" s="25">
        <f>IF(Scenario="Bear",1,IF(Scenario="Bull",3,2))</f>
      </c>
    </row>
    <row r="21" spans="2:5" x14ac:dyDescent="0.25">
      <c r="B21" s="1" t="s">
        <v>76</v>
      </c>
      <c r="C21" s="7" t="s">
        <v>77</v>
      </c>
      <c r="E21" s="25">
        <f>IF(FCF_Source="Build",1,0)</f>
      </c>
    </row>
    <row r="22" spans="2:5" x14ac:dyDescent="0.25">
      <c r="B22" s="1" t="s">
        <v>78</v>
      </c>
      <c r="C22" s="7" t="s">
        <v>79</v>
      </c>
      <c r="E22" s="25">
        <f>IF(TV_Method="Exit multiple",1,0)</f>
      </c>
    </row>
    <row r="24" ht="18" customHeight="1" spans="2:10" x14ac:dyDescent="0.25">
      <c r="B24" s="5" t="s">
        <v>80</v>
      </c>
      <c r="C24" s="6"/>
      <c r="D24" s="6"/>
      <c r="E24" s="6"/>
      <c r="F24" s="6"/>
      <c r="G24" s="6"/>
      <c r="H24" s="6"/>
      <c r="I24" s="6"/>
      <c r="J24" s="6"/>
    </row>
    <row r="25" spans="2:5" x14ac:dyDescent="0.25">
      <c r="B25" s="1" t="s">
        <v>81</v>
      </c>
      <c r="C25" s="7" t="s">
        <v>82</v>
      </c>
      <c r="E25" s="26"/>
    </row>
    <row r="26" spans="2:5" x14ac:dyDescent="0.25">
      <c r="B26" s="1" t="s">
        <v>83</v>
      </c>
      <c r="C26" s="7" t="s">
        <v>84</v>
      </c>
      <c r="E26" s="27"/>
    </row>
    <row r="28" ht="18" customHeight="1" spans="2:10" x14ac:dyDescent="0.25">
      <c r="B28" s="5" t="s">
        <v>85</v>
      </c>
      <c r="C28" s="6"/>
      <c r="D28" s="6"/>
      <c r="E28" s="6"/>
      <c r="F28" s="6"/>
      <c r="G28" s="6"/>
      <c r="H28" s="6"/>
      <c r="I28" s="6"/>
      <c r="J28" s="6"/>
    </row>
    <row r="29" spans="2:5" x14ac:dyDescent="0.25">
      <c r="B29" s="1" t="s">
        <v>86</v>
      </c>
      <c r="C29" s="7" t="s">
        <v>82</v>
      </c>
      <c r="E29" s="26"/>
    </row>
    <row r="30" spans="2:5" x14ac:dyDescent="0.25">
      <c r="B30" s="1" t="s">
        <v>87</v>
      </c>
      <c r="C30" s="7" t="s">
        <v>88</v>
      </c>
      <c r="E30" s="27"/>
    </row>
    <row r="31" spans="2:5" x14ac:dyDescent="0.25">
      <c r="B31" s="1" t="s">
        <v>89</v>
      </c>
      <c r="C31" s="7" t="s">
        <v>90</v>
      </c>
      <c r="E31" s="27"/>
    </row>
    <row r="32" spans="2:5" x14ac:dyDescent="0.25">
      <c r="B32" s="1" t="s">
        <v>91</v>
      </c>
      <c r="C32" s="7" t="s">
        <v>90</v>
      </c>
      <c r="E32" s="27"/>
    </row>
    <row r="33" spans="2:5" x14ac:dyDescent="0.25">
      <c r="B33" s="1" t="s">
        <v>92</v>
      </c>
      <c r="C33" s="7" t="s">
        <v>90</v>
      </c>
      <c r="E33" s="27"/>
    </row>
    <row r="35" ht="18" customHeight="1" spans="2:10" x14ac:dyDescent="0.25">
      <c r="B35" s="5" t="s">
        <v>93</v>
      </c>
      <c r="C35" s="6"/>
      <c r="D35" s="6"/>
      <c r="E35" s="6"/>
      <c r="F35" s="6"/>
      <c r="G35" s="6"/>
      <c r="H35" s="6"/>
      <c r="I35" s="6"/>
      <c r="J35" s="6"/>
    </row>
    <row r="36" spans="5:10" x14ac:dyDescent="0.25">
      <c r="E36" s="28" t="s">
        <v>94</v>
      </c>
      <c r="F36" s="28" t="s">
        <v>95</v>
      </c>
      <c r="G36" s="28" t="s">
        <v>96</v>
      </c>
      <c r="H36" s="28" t="s">
        <v>97</v>
      </c>
      <c r="I36" s="28" t="s">
        <v>98</v>
      </c>
      <c r="J36" s="28" t="s">
        <v>99</v>
      </c>
    </row>
    <row r="37" spans="2:2" x14ac:dyDescent="0.25">
      <c r="B37" s="29" t="s">
        <v>100</v>
      </c>
    </row>
    <row r="38" spans="2:10" x14ac:dyDescent="0.25">
      <c r="B38" s="30" t="s">
        <v>101</v>
      </c>
      <c r="C38" s="7" t="s">
        <v>88</v>
      </c>
      <c r="F38" s="27"/>
      <c r="G38" s="27"/>
      <c r="H38" s="27"/>
      <c r="I38" s="27"/>
      <c r="J38" s="27"/>
    </row>
    <row r="39" spans="2:10" x14ac:dyDescent="0.25">
      <c r="B39" s="30" t="s">
        <v>66</v>
      </c>
      <c r="C39" s="7" t="s">
        <v>88</v>
      </c>
      <c r="F39" s="27"/>
      <c r="G39" s="27"/>
      <c r="H39" s="27"/>
      <c r="I39" s="27"/>
      <c r="J39" s="27"/>
    </row>
    <row r="40" spans="2:10" x14ac:dyDescent="0.25">
      <c r="B40" s="30" t="s">
        <v>102</v>
      </c>
      <c r="C40" s="7" t="s">
        <v>88</v>
      </c>
      <c r="F40" s="27"/>
      <c r="G40" s="27"/>
      <c r="H40" s="27"/>
      <c r="I40" s="27"/>
      <c r="J40" s="27"/>
    </row>
    <row r="41" spans="2:10" x14ac:dyDescent="0.25">
      <c r="B41" s="31" t="s">
        <v>103</v>
      </c>
      <c r="C41" s="7" t="s">
        <v>88</v>
      </c>
      <c r="F41" s="32">
        <f>CHOOSE(Scenario_No,F38,F39,F40)</f>
      </c>
      <c r="G41" s="32">
        <f>CHOOSE(Scenario_No,G38,G39,G40)</f>
      </c>
      <c r="H41" s="32">
        <f>CHOOSE(Scenario_No,H38,H39,H40)</f>
      </c>
      <c r="I41" s="32">
        <f>CHOOSE(Scenario_No,I38,I39,I40)</f>
      </c>
      <c r="J41" s="32">
        <f>CHOOSE(Scenario_No,J38,J39,J40)</f>
      </c>
    </row>
    <row r="43" spans="2:2" x14ac:dyDescent="0.25">
      <c r="B43" s="29" t="s">
        <v>104</v>
      </c>
    </row>
    <row r="44" spans="2:10" x14ac:dyDescent="0.25">
      <c r="B44" s="30" t="s">
        <v>101</v>
      </c>
      <c r="C44" s="7" t="s">
        <v>88</v>
      </c>
      <c r="F44" s="27"/>
      <c r="G44" s="27"/>
      <c r="H44" s="27"/>
      <c r="I44" s="27"/>
      <c r="J44" s="27"/>
    </row>
    <row r="45" spans="2:10" x14ac:dyDescent="0.25">
      <c r="B45" s="30" t="s">
        <v>66</v>
      </c>
      <c r="C45" s="7" t="s">
        <v>88</v>
      </c>
      <c r="F45" s="27"/>
      <c r="G45" s="27"/>
      <c r="H45" s="27"/>
      <c r="I45" s="27"/>
      <c r="J45" s="27"/>
    </row>
    <row r="46" spans="2:10" x14ac:dyDescent="0.25">
      <c r="B46" s="30" t="s">
        <v>102</v>
      </c>
      <c r="C46" s="7" t="s">
        <v>88</v>
      </c>
      <c r="F46" s="27"/>
      <c r="G46" s="27"/>
      <c r="H46" s="27"/>
      <c r="I46" s="27"/>
      <c r="J46" s="27"/>
    </row>
    <row r="47" spans="2:10" x14ac:dyDescent="0.25">
      <c r="B47" s="31" t="s">
        <v>103</v>
      </c>
      <c r="C47" s="7" t="s">
        <v>88</v>
      </c>
      <c r="F47" s="32">
        <f>CHOOSE(Scenario_No,F44,F45,F46)</f>
      </c>
      <c r="G47" s="32">
        <f>CHOOSE(Scenario_No,G44,G45,G46)</f>
      </c>
      <c r="H47" s="32">
        <f>CHOOSE(Scenario_No,H44,H45,H46)</f>
      </c>
      <c r="I47" s="32">
        <f>CHOOSE(Scenario_No,I44,I45,I46)</f>
      </c>
      <c r="J47" s="32">
        <f>CHOOSE(Scenario_No,J44,J45,J46)</f>
      </c>
    </row>
    <row r="49" spans="2:2" x14ac:dyDescent="0.25">
      <c r="B49" s="29" t="s">
        <v>105</v>
      </c>
    </row>
    <row r="50" spans="2:5" x14ac:dyDescent="0.25">
      <c r="B50" s="30" t="s">
        <v>101</v>
      </c>
      <c r="C50" s="7" t="s">
        <v>106</v>
      </c>
      <c r="E50" s="33"/>
    </row>
    <row r="51" spans="2:5" x14ac:dyDescent="0.25">
      <c r="B51" s="30" t="s">
        <v>66</v>
      </c>
      <c r="C51" s="7" t="s">
        <v>106</v>
      </c>
      <c r="E51" s="33"/>
    </row>
    <row r="52" spans="2:5" x14ac:dyDescent="0.25">
      <c r="B52" s="30" t="s">
        <v>102</v>
      </c>
      <c r="C52" s="7" t="s">
        <v>106</v>
      </c>
      <c r="E52" s="33"/>
    </row>
    <row r="53" spans="2:5" x14ac:dyDescent="0.25">
      <c r="B53" s="31" t="s">
        <v>103</v>
      </c>
      <c r="C53" s="7" t="s">
        <v>106</v>
      </c>
      <c r="E53" s="34">
        <f>CHOOSE(Scenario_No,E50,E51,E52)</f>
      </c>
    </row>
    <row r="55" ht="18" customHeight="1" spans="2:10" x14ac:dyDescent="0.25">
      <c r="B55" s="5" t="s">
        <v>107</v>
      </c>
      <c r="C55" s="6"/>
      <c r="D55" s="6"/>
      <c r="E55" s="6"/>
      <c r="F55" s="6"/>
      <c r="G55" s="6"/>
      <c r="H55" s="6"/>
      <c r="I55" s="6"/>
      <c r="J55" s="6"/>
    </row>
    <row r="56" spans="2:5" x14ac:dyDescent="0.25">
      <c r="B56" s="1" t="s">
        <v>108</v>
      </c>
      <c r="C56" s="7" t="s">
        <v>88</v>
      </c>
      <c r="E56" s="35"/>
    </row>
    <row r="57" spans="2:5" x14ac:dyDescent="0.25">
      <c r="B57" s="1" t="s">
        <v>42</v>
      </c>
      <c r="C57" s="7" t="s">
        <v>88</v>
      </c>
      <c r="E57" s="35"/>
    </row>
    <row r="58" spans="2:5" x14ac:dyDescent="0.25">
      <c r="B58" s="1" t="s">
        <v>109</v>
      </c>
      <c r="E58" s="23" t="s">
        <v>110</v>
      </c>
    </row>
    <row r="59" spans="2:5" x14ac:dyDescent="0.25">
      <c r="B59" s="1" t="s">
        <v>111</v>
      </c>
      <c r="E59" s="36"/>
    </row>
    <row r="60" spans="2:5" x14ac:dyDescent="0.25">
      <c r="B60" s="1" t="s">
        <v>112</v>
      </c>
      <c r="C60" s="7" t="s">
        <v>88</v>
      </c>
      <c r="E60" s="35"/>
    </row>
    <row r="61" spans="2:5" x14ac:dyDescent="0.25">
      <c r="B61" s="1" t="s">
        <v>113</v>
      </c>
      <c r="C61" s="7" t="s">
        <v>88</v>
      </c>
      <c r="E61" s="35"/>
    </row>
    <row r="62" spans="2:5" x14ac:dyDescent="0.25">
      <c r="B62" s="1" t="s">
        <v>114</v>
      </c>
      <c r="C62" s="7" t="s">
        <v>88</v>
      </c>
      <c r="E62" s="27"/>
    </row>
    <row r="64" ht="18" customHeight="1" spans="2:10" x14ac:dyDescent="0.25">
      <c r="B64" s="5" t="s">
        <v>115</v>
      </c>
      <c r="C64" s="6"/>
      <c r="D64" s="6"/>
      <c r="E64" s="6"/>
      <c r="F64" s="6"/>
      <c r="G64" s="6"/>
      <c r="H64" s="6"/>
      <c r="I64" s="6"/>
      <c r="J64" s="6"/>
    </row>
    <row r="65" spans="2:5" x14ac:dyDescent="0.25">
      <c r="B65" s="1" t="s">
        <v>116</v>
      </c>
      <c r="C65" s="7" t="s">
        <v>84</v>
      </c>
      <c r="E65" s="27"/>
    </row>
    <row r="67" ht="18" customHeight="1" spans="2:10" x14ac:dyDescent="0.25">
      <c r="B67" s="5" t="s">
        <v>117</v>
      </c>
      <c r="C67" s="6"/>
      <c r="D67" s="6"/>
      <c r="E67" s="6"/>
      <c r="F67" s="6"/>
      <c r="G67" s="6"/>
      <c r="H67" s="6"/>
      <c r="I67" s="6"/>
      <c r="J67" s="6"/>
    </row>
    <row r="68" spans="2:5" x14ac:dyDescent="0.25">
      <c r="B68" s="1" t="s">
        <v>118</v>
      </c>
      <c r="C68" s="7" t="s">
        <v>82</v>
      </c>
      <c r="E68" s="26"/>
    </row>
    <row r="69" spans="2:5" x14ac:dyDescent="0.25">
      <c r="B69" s="1" t="s">
        <v>119</v>
      </c>
      <c r="C69" s="7" t="s">
        <v>82</v>
      </c>
      <c r="E69" s="26"/>
    </row>
    <row r="70" spans="2:5" x14ac:dyDescent="0.25">
      <c r="B70" s="1" t="s">
        <v>120</v>
      </c>
      <c r="C70" s="7" t="s">
        <v>82</v>
      </c>
      <c r="E70" s="26"/>
    </row>
    <row r="71" spans="2:5" x14ac:dyDescent="0.25">
      <c r="B71" s="1" t="s">
        <v>121</v>
      </c>
      <c r="C71" s="7" t="s">
        <v>82</v>
      </c>
      <c r="E71" s="26"/>
    </row>
    <row r="72" spans="2:5" x14ac:dyDescent="0.25">
      <c r="B72" s="1" t="s">
        <v>122</v>
      </c>
      <c r="C72" s="7" t="s">
        <v>82</v>
      </c>
      <c r="E72" s="26"/>
    </row>
    <row r="73" spans="2:5" x14ac:dyDescent="0.25">
      <c r="B73" s="1" t="s">
        <v>123</v>
      </c>
      <c r="C73" s="7" t="s">
        <v>124</v>
      </c>
      <c r="E73" s="26"/>
    </row>
    <row r="74" spans="2:5" x14ac:dyDescent="0.25">
      <c r="B74" s="1" t="s">
        <v>125</v>
      </c>
      <c r="C74" s="7" t="s">
        <v>55</v>
      </c>
      <c r="E74" s="37"/>
    </row>
  </sheetData>
  <conditionalFormatting sqref="B25:E26">
    <cfRule type="expression" dxfId="1" priority="1">
      <formula>Build_Flag=1</formula>
    </cfRule>
  </conditionalFormatting>
  <conditionalFormatting sqref="B29:J53">
    <cfRule type="expression" dxfId="2" priority="1">
      <formula>Build_Flag=0</formula>
    </cfRule>
  </conditionalFormatting>
  <dataValidations count="9">
    <dataValidation type="list" showErrorMessage="1" errorTitle="Invalid choice" error="Choose one of: 5, 10" sqref="E11">
      <formula1>"5,10"</formula1>
    </dataValidation>
    <dataValidation type="list" showErrorMessage="1" errorTitle="Invalid choice" error="Choose one of: Year-end, Mid-year" sqref="E12">
      <formula1>"Year-end,Mid-year"</formula1>
    </dataValidation>
    <dataValidation type="list" showErrorMessage="1" errorTitle="Invalid choice" error="Choose one of: Bear, Base, Bull" sqref="E13">
      <formula1>"Bear,Base,Bull"</formula1>
    </dataValidation>
    <dataValidation type="list" showErrorMessage="1" errorTitle="Invalid choice" error="Choose one of: Direct, Build" sqref="E14">
      <formula1>"Direct,Build"</formula1>
    </dataValidation>
    <dataValidation type="list" showErrorMessage="1" errorTitle="Invalid choice" error="Choose one of: Direct, CAPM" sqref="E15">
      <formula1>"Direct,CAPM"</formula1>
    </dataValidation>
    <dataValidation type="list" showErrorMessage="1" errorTitle="Invalid choice" error="Choose one of: Perpetuity growth, Exit multiple" sqref="E16">
      <formula1>"Perpetuity growth,Exit multiple"</formula1>
    </dataValidation>
    <dataValidation type="list" showErrorMessage="1" errorTitle="Invalid choice" error="Choose one of: Levered, Unlevered" sqref="E58">
      <formula1>"Levered,Unlevered"</formula1>
    </dataValidation>
    <dataValidation type="decimal" allowBlank="1" showErrorMessage="1" errorTitle="Out of range" error="Enter a value between 0 and 0.9." sqref="E62">
      <formula1>0</formula1>
      <formula2>0.9</formula2>
    </dataValidation>
    <dataValidation type="decimal" allowBlank="1" showErrorMessage="1" errorTitle="Out of range" error="Enter a value between 1900 and 2200." sqref="E7">
      <formula1>1900</formula1>
      <formula2>2200</formula2>
    </dataValidation>
  </dataValidations>
  <pageMargins left="0.5" right="0.5" top="0.6" bottom="0.6" header="0.3" footer="0.3"/>
  <pageSetup paperSize="9" orientation="portrait" fitToWidth="1" fitToHeight="1"/>
  <headerFooter>
    <oddFooter>&amp;L&amp;"Arial"&amp;8Swiss DCF Model v1.0.0&amp;C&amp;"Arial"&amp;8&amp;A&amp;R&amp;"Arial"&amp;8Page &amp;P of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O30"/>
  <sheetViews>
    <sheetView workbookViewId="0" showGridLines="0" zoomScale="100">
      <pane xSplit="4" ySplit="6" topLeftCell="E7" activePane="bottomRight" state="frozen"/>
      <selection pane="bottomRight"/>
    </sheetView>
  </sheetViews>
  <sheetFormatPr defaultRowHeight="15" outlineLevelRow="0" outlineLevelCol="1" x14ac:dyDescent="55"/>
  <cols>
    <col min="1" max="1" width="2" style="1" customWidth="1"/>
    <col min="2" max="2" width="40" style="1" customWidth="1"/>
    <col min="3" max="3" width="10" style="1" customWidth="1"/>
    <col min="4" max="4" width="2" style="1" customWidth="1"/>
    <col min="5" max="10" width="11" style="1" customWidth="1"/>
    <col min="11" max="15" width="11" style="1" hidden="1" outlineLevel="1" collapsed="1" customWidth="1"/>
  </cols>
  <sheetData>
    <row r="1" ht="21" customHeight="1" spans="2:15" x14ac:dyDescent="0.25">
      <c r="B1" s="2" t="s">
        <v>27</v>
      </c>
      <c r="C1" s="3"/>
      <c r="D1" s="3"/>
      <c r="E1" s="3"/>
      <c r="F1" s="3"/>
      <c r="G1" s="3"/>
      <c r="H1" s="3"/>
      <c r="I1" s="3"/>
      <c r="J1" s="3"/>
      <c r="K1" s="3"/>
      <c r="L1" s="3"/>
      <c r="M1" s="3"/>
      <c r="N1" s="3"/>
      <c r="O1" s="3"/>
    </row>
    <row r="2" ht="16" customHeight="1" spans="2:2" x14ac:dyDescent="0.25">
      <c r="B2" s="4">
        <f>IF(Company_Name="","Company not specified",Company_Name)&amp;"   |   CHF m unless stated otherwise   |   Scenario: "&amp;IF(Build_Flag=1,Scenario,"not used (direct FCF)")&amp;"   |   Checks: "&amp;Check_Status</f>
      </c>
    </row>
    <row r="4" spans="2:15" x14ac:dyDescent="0.25">
      <c r="B4" s="1" t="s">
        <v>126</v>
      </c>
      <c r="C4" s="7" t="s">
        <v>127</v>
      </c>
      <c r="E4" s="38">
        <f>0</f>
      </c>
      <c r="F4" s="38">
        <f>E4+1</f>
      </c>
      <c r="G4" s="38">
        <f>F4+1</f>
      </c>
      <c r="H4" s="38">
        <f>G4+1</f>
      </c>
      <c r="I4" s="38">
        <f>H4+1</f>
      </c>
      <c r="J4" s="38">
        <f>I4+1</f>
      </c>
      <c r="K4" s="38">
        <f>J4+1</f>
      </c>
      <c r="L4" s="38">
        <f>K4+1</f>
      </c>
      <c r="M4" s="38">
        <f>L4+1</f>
      </c>
      <c r="N4" s="38">
        <f>M4+1</f>
      </c>
      <c r="O4" s="38">
        <f>N4+1</f>
      </c>
    </row>
    <row r="5" spans="2:15" x14ac:dyDescent="0.25">
      <c r="B5" s="1" t="s">
        <v>128</v>
      </c>
      <c r="C5" s="7" t="s">
        <v>129</v>
      </c>
      <c r="E5" s="39">
        <f>IF(ISNUMBER(Base_Year),Base_Year+E4,E4)</f>
      </c>
      <c r="F5" s="39">
        <f>IF(ISNUMBER(Base_Year),Base_Year+F4,F4)</f>
      </c>
      <c r="G5" s="39">
        <f>IF(ISNUMBER(Base_Year),Base_Year+G4,G4)</f>
      </c>
      <c r="H5" s="39">
        <f>IF(ISNUMBER(Base_Year),Base_Year+H4,H4)</f>
      </c>
      <c r="I5" s="39">
        <f>IF(ISNUMBER(Base_Year),Base_Year+I4,I4)</f>
      </c>
      <c r="J5" s="39">
        <f>IF(ISNUMBER(Base_Year),Base_Year+J4,J4)</f>
      </c>
      <c r="K5" s="39">
        <f>IF(ISNUMBER(Base_Year),Base_Year+K4,K4)</f>
      </c>
      <c r="L5" s="39">
        <f>IF(ISNUMBER(Base_Year),Base_Year+L4,L4)</f>
      </c>
      <c r="M5" s="39">
        <f>IF(ISNUMBER(Base_Year),Base_Year+M4,M4)</f>
      </c>
      <c r="N5" s="39">
        <f>IF(ISNUMBER(Base_Year),Base_Year+N4,N4)</f>
      </c>
      <c r="O5" s="39">
        <f>IF(ISNUMBER(Base_Year),Base_Year+O4,O4)</f>
      </c>
    </row>
    <row r="6" spans="2:15" x14ac:dyDescent="0.25">
      <c r="B6" s="1" t="s">
        <v>130</v>
      </c>
      <c r="C6" s="7" t="s">
        <v>131</v>
      </c>
      <c r="E6" s="25">
        <f>IF(E4&lt;=Forecast_Years,1,0)</f>
      </c>
      <c r="F6" s="25">
        <f>IF(F4&lt;=Forecast_Years,1,0)</f>
      </c>
      <c r="G6" s="25">
        <f>IF(G4&lt;=Forecast_Years,1,0)</f>
      </c>
      <c r="H6" s="25">
        <f>IF(H4&lt;=Forecast_Years,1,0)</f>
      </c>
      <c r="I6" s="25">
        <f>IF(I4&lt;=Forecast_Years,1,0)</f>
      </c>
      <c r="J6" s="25">
        <f>IF(J4&lt;=Forecast_Years,1,0)</f>
      </c>
      <c r="K6" s="25">
        <f>IF(K4&lt;=Forecast_Years,1,0)</f>
      </c>
      <c r="L6" s="25">
        <f>IF(L4&lt;=Forecast_Years,1,0)</f>
      </c>
      <c r="M6" s="25">
        <f>IF(M4&lt;=Forecast_Years,1,0)</f>
      </c>
      <c r="N6" s="25">
        <f>IF(N4&lt;=Forecast_Years,1,0)</f>
      </c>
      <c r="O6" s="25">
        <f>IF(O4&lt;=Forecast_Years,1,0)</f>
      </c>
    </row>
    <row r="8" ht="18" customHeight="1" spans="2:15" x14ac:dyDescent="0.25">
      <c r="B8" s="5" t="s">
        <v>132</v>
      </c>
      <c r="C8" s="6"/>
      <c r="D8" s="6"/>
      <c r="E8" s="6"/>
      <c r="F8" s="6"/>
      <c r="G8" s="6"/>
      <c r="H8" s="6"/>
      <c r="I8" s="6"/>
      <c r="J8" s="6"/>
      <c r="K8" s="6"/>
      <c r="L8" s="6"/>
      <c r="M8" s="6"/>
      <c r="N8" s="6"/>
      <c r="O8" s="6"/>
    </row>
    <row r="9" spans="2:15" x14ac:dyDescent="0.25">
      <c r="B9" s="1" t="s">
        <v>100</v>
      </c>
      <c r="C9" s="7" t="s">
        <v>88</v>
      </c>
      <c r="F9" s="40">
        <f>Inputs!F41</f>
      </c>
      <c r="G9" s="40">
        <f>Inputs!G41</f>
      </c>
      <c r="H9" s="40">
        <f>Inputs!H41</f>
      </c>
      <c r="I9" s="40">
        <f>Inputs!I41</f>
      </c>
      <c r="J9" s="40">
        <f>Inputs!J41</f>
      </c>
      <c r="K9" s="41">
        <f>$J9+(TGR-$J9)*(K$4-5)/5</f>
      </c>
      <c r="L9" s="41">
        <f>$J9+(TGR-$J9)*(L$4-5)/5</f>
      </c>
      <c r="M9" s="41">
        <f>$J9+(TGR-$J9)*(M$4-5)/5</f>
      </c>
      <c r="N9" s="41">
        <f>$J9+(TGR-$J9)*(N$4-5)/5</f>
      </c>
      <c r="O9" s="41">
        <f>$J9+(TGR-$J9)*(O$4-5)/5</f>
      </c>
    </row>
    <row r="10" spans="2:15" x14ac:dyDescent="0.25">
      <c r="B10" s="1" t="s">
        <v>133</v>
      </c>
      <c r="C10" s="7" t="s">
        <v>82</v>
      </c>
      <c r="E10" s="42">
        <f>Base_Revenue</f>
      </c>
      <c r="F10" s="43">
        <f>E10*(1+F9)</f>
      </c>
      <c r="G10" s="43">
        <f>F10*(1+G9)</f>
      </c>
      <c r="H10" s="43">
        <f>G10*(1+H9)</f>
      </c>
      <c r="I10" s="43">
        <f>H10*(1+I9)</f>
      </c>
      <c r="J10" s="43">
        <f>I10*(1+J9)</f>
      </c>
      <c r="K10" s="43">
        <f>J10*(1+K9)</f>
      </c>
      <c r="L10" s="43">
        <f>K10*(1+L9)</f>
      </c>
      <c r="M10" s="43">
        <f>L10*(1+M9)</f>
      </c>
      <c r="N10" s="43">
        <f>M10*(1+N9)</f>
      </c>
      <c r="O10" s="43">
        <f>N10*(1+O9)</f>
      </c>
    </row>
    <row r="11" spans="2:15" x14ac:dyDescent="0.25">
      <c r="B11" s="1" t="s">
        <v>104</v>
      </c>
      <c r="C11" s="7" t="s">
        <v>88</v>
      </c>
      <c r="F11" s="40">
        <f>Inputs!F47</f>
      </c>
      <c r="G11" s="40">
        <f>Inputs!G47</f>
      </c>
      <c r="H11" s="40">
        <f>Inputs!H47</f>
      </c>
      <c r="I11" s="40">
        <f>Inputs!I47</f>
      </c>
      <c r="J11" s="40">
        <f>Inputs!J47</f>
      </c>
      <c r="K11" s="41">
        <f>$J11</f>
      </c>
      <c r="L11" s="41">
        <f>$J11</f>
      </c>
      <c r="M11" s="41">
        <f>$J11</f>
      </c>
      <c r="N11" s="41">
        <f>$J11</f>
      </c>
      <c r="O11" s="41">
        <f>$J11</f>
      </c>
    </row>
    <row r="12" spans="2:15" x14ac:dyDescent="0.25">
      <c r="B12" s="1" t="s">
        <v>134</v>
      </c>
      <c r="C12" s="7" t="s">
        <v>82</v>
      </c>
      <c r="F12" s="43">
        <f>F10*F11</f>
      </c>
      <c r="G12" s="43">
        <f>G10*G11</f>
      </c>
      <c r="H12" s="43">
        <f>H10*H11</f>
      </c>
      <c r="I12" s="43">
        <f>I10*I11</f>
      </c>
      <c r="J12" s="43">
        <f>J10*J11</f>
      </c>
      <c r="K12" s="43">
        <f>K10*K11</f>
      </c>
      <c r="L12" s="43">
        <f>L10*L11</f>
      </c>
      <c r="M12" s="43">
        <f>M10*M11</f>
      </c>
      <c r="N12" s="43">
        <f>N10*N11</f>
      </c>
      <c r="O12" s="43">
        <f>O10*O11</f>
      </c>
    </row>
    <row r="13" spans="2:15" x14ac:dyDescent="0.25">
      <c r="B13" s="30" t="s">
        <v>135</v>
      </c>
      <c r="C13" s="7" t="s">
        <v>82</v>
      </c>
      <c r="F13" s="43">
        <f>-F12*Tax_Rate</f>
      </c>
      <c r="G13" s="43">
        <f>-G12*Tax_Rate</f>
      </c>
      <c r="H13" s="43">
        <f>-H12*Tax_Rate</f>
      </c>
      <c r="I13" s="43">
        <f>-I12*Tax_Rate</f>
      </c>
      <c r="J13" s="43">
        <f>-J12*Tax_Rate</f>
      </c>
      <c r="K13" s="43">
        <f>-K12*Tax_Rate</f>
      </c>
      <c r="L13" s="43">
        <f>-L12*Tax_Rate</f>
      </c>
      <c r="M13" s="43">
        <f>-M12*Tax_Rate</f>
      </c>
      <c r="N13" s="43">
        <f>-N12*Tax_Rate</f>
      </c>
      <c r="O13" s="43">
        <f>-O12*Tax_Rate</f>
      </c>
    </row>
    <row r="14" spans="2:15" x14ac:dyDescent="0.25">
      <c r="B14" s="29" t="s">
        <v>136</v>
      </c>
      <c r="C14" s="7" t="s">
        <v>82</v>
      </c>
      <c r="F14" s="44">
        <f>F12+F13</f>
      </c>
      <c r="G14" s="44">
        <f>G12+G13</f>
      </c>
      <c r="H14" s="44">
        <f>H12+H13</f>
      </c>
      <c r="I14" s="44">
        <f>I12+I13</f>
      </c>
      <c r="J14" s="44">
        <f>J12+J13</f>
      </c>
      <c r="K14" s="44">
        <f>K12+K13</f>
      </c>
      <c r="L14" s="44">
        <f>L12+L13</f>
      </c>
      <c r="M14" s="44">
        <f>M12+M13</f>
      </c>
      <c r="N14" s="44">
        <f>N12+N13</f>
      </c>
      <c r="O14" s="44">
        <f>O12+O13</f>
      </c>
    </row>
    <row r="15" spans="2:15" x14ac:dyDescent="0.25">
      <c r="B15" s="30" t="s">
        <v>137</v>
      </c>
      <c r="C15" s="7" t="s">
        <v>82</v>
      </c>
      <c r="F15" s="43">
        <f>F10*DA_Pct</f>
      </c>
      <c r="G15" s="43">
        <f>G10*DA_Pct</f>
      </c>
      <c r="H15" s="43">
        <f>H10*DA_Pct</f>
      </c>
      <c r="I15" s="43">
        <f>I10*DA_Pct</f>
      </c>
      <c r="J15" s="43">
        <f>J10*DA_Pct</f>
      </c>
      <c r="K15" s="43">
        <f>K10*DA_Pct</f>
      </c>
      <c r="L15" s="43">
        <f>L10*DA_Pct</f>
      </c>
      <c r="M15" s="43">
        <f>M10*DA_Pct</f>
      </c>
      <c r="N15" s="43">
        <f>N10*DA_Pct</f>
      </c>
      <c r="O15" s="43">
        <f>O10*DA_Pct</f>
      </c>
    </row>
    <row r="16" spans="2:15" x14ac:dyDescent="0.25">
      <c r="B16" s="30" t="s">
        <v>138</v>
      </c>
      <c r="C16" s="7" t="s">
        <v>82</v>
      </c>
      <c r="F16" s="43">
        <f>-F10*Capex_Pct</f>
      </c>
      <c r="G16" s="43">
        <f>-G10*Capex_Pct</f>
      </c>
      <c r="H16" s="43">
        <f>-H10*Capex_Pct</f>
      </c>
      <c r="I16" s="43">
        <f>-I10*Capex_Pct</f>
      </c>
      <c r="J16" s="43">
        <f>-J10*Capex_Pct</f>
      </c>
      <c r="K16" s="43">
        <f>-K10*Capex_Pct</f>
      </c>
      <c r="L16" s="43">
        <f>-L10*Capex_Pct</f>
      </c>
      <c r="M16" s="43">
        <f>-M10*Capex_Pct</f>
      </c>
      <c r="N16" s="43">
        <f>-N10*Capex_Pct</f>
      </c>
      <c r="O16" s="43">
        <f>-O10*Capex_Pct</f>
      </c>
    </row>
    <row r="17" spans="2:15" x14ac:dyDescent="0.25">
      <c r="B17" s="1" t="s">
        <v>92</v>
      </c>
      <c r="C17" s="7" t="s">
        <v>82</v>
      </c>
      <c r="E17" s="43">
        <f>E10*NWC_Pct</f>
      </c>
      <c r="F17" s="43">
        <f>F10*NWC_Pct</f>
      </c>
      <c r="G17" s="43">
        <f>G10*NWC_Pct</f>
      </c>
      <c r="H17" s="43">
        <f>H10*NWC_Pct</f>
      </c>
      <c r="I17" s="43">
        <f>I10*NWC_Pct</f>
      </c>
      <c r="J17" s="43">
        <f>J10*NWC_Pct</f>
      </c>
      <c r="K17" s="43">
        <f>K10*NWC_Pct</f>
      </c>
      <c r="L17" s="43">
        <f>L10*NWC_Pct</f>
      </c>
      <c r="M17" s="43">
        <f>M10*NWC_Pct</f>
      </c>
      <c r="N17" s="43">
        <f>N10*NWC_Pct</f>
      </c>
      <c r="O17" s="43">
        <f>O10*NWC_Pct</f>
      </c>
    </row>
    <row r="18" spans="2:15" x14ac:dyDescent="0.25">
      <c r="B18" s="30" t="s">
        <v>139</v>
      </c>
      <c r="C18" s="7" t="s">
        <v>82</v>
      </c>
      <c r="F18" s="43">
        <f>-(F17-E17)</f>
      </c>
      <c r="G18" s="43">
        <f>-(G17-F17)</f>
      </c>
      <c r="H18" s="43">
        <f>-(H17-G17)</f>
      </c>
      <c r="I18" s="43">
        <f>-(I17-H17)</f>
      </c>
      <c r="J18" s="43">
        <f>-(J17-I17)</f>
      </c>
      <c r="K18" s="43">
        <f>-(K17-J17)</f>
      </c>
      <c r="L18" s="43">
        <f>-(L17-K17)</f>
      </c>
      <c r="M18" s="43">
        <f>-(M17-L17)</f>
      </c>
      <c r="N18" s="43">
        <f>-(N17-M17)</f>
      </c>
      <c r="O18" s="43">
        <f>-(O17-N17)</f>
      </c>
    </row>
    <row r="19" spans="2:15" x14ac:dyDescent="0.25">
      <c r="B19" s="29" t="s">
        <v>140</v>
      </c>
      <c r="C19" s="7" t="s">
        <v>82</v>
      </c>
      <c r="F19" s="44">
        <f>F14+F15+F16+F18</f>
      </c>
      <c r="G19" s="44">
        <f>G14+G15+G16+G18</f>
      </c>
      <c r="H19" s="44">
        <f>H14+H15+H16+H18</f>
      </c>
      <c r="I19" s="44">
        <f>I14+I15+I16+I18</f>
      </c>
      <c r="J19" s="44">
        <f>J14+J15+J16+J18</f>
      </c>
      <c r="K19" s="44">
        <f>K14+K15+K16+K18</f>
      </c>
      <c r="L19" s="44">
        <f>L14+L15+L16+L18</f>
      </c>
      <c r="M19" s="44">
        <f>M14+M15+M16+M18</f>
      </c>
      <c r="N19" s="44">
        <f>N14+N15+N16+N18</f>
      </c>
      <c r="O19" s="44">
        <f>O14+O15+O16+O18</f>
      </c>
    </row>
    <row r="20" spans="2:15" x14ac:dyDescent="0.25">
      <c r="B20" s="1" t="s">
        <v>141</v>
      </c>
      <c r="C20" s="7" t="s">
        <v>82</v>
      </c>
      <c r="F20" s="43">
        <f>F12+F15</f>
      </c>
      <c r="G20" s="43">
        <f>G12+G15</f>
      </c>
      <c r="H20" s="43">
        <f>H12+H15</f>
      </c>
      <c r="I20" s="43">
        <f>I12+I15</f>
      </c>
      <c r="J20" s="43">
        <f>J12+J15</f>
      </c>
      <c r="K20" s="43">
        <f>K12+K15</f>
      </c>
      <c r="L20" s="43">
        <f>L12+L15</f>
      </c>
      <c r="M20" s="43">
        <f>M12+M15</f>
      </c>
      <c r="N20" s="43">
        <f>N12+N15</f>
      </c>
      <c r="O20" s="43">
        <f>O12+O15</f>
      </c>
    </row>
    <row r="21" spans="2:15" x14ac:dyDescent="0.25">
      <c r="B21" s="30" t="s">
        <v>142</v>
      </c>
      <c r="C21" s="7" t="s">
        <v>88</v>
      </c>
      <c r="F21" s="41">
        <f>IF(F10&lt;&gt;0,F19/F10,0)</f>
      </c>
      <c r="G21" s="41">
        <f>IF(G10&lt;&gt;0,G19/G10,0)</f>
      </c>
      <c r="H21" s="41">
        <f>IF(H10&lt;&gt;0,H19/H10,0)</f>
      </c>
      <c r="I21" s="41">
        <f>IF(I10&lt;&gt;0,I19/I10,0)</f>
      </c>
      <c r="J21" s="41">
        <f>IF(J10&lt;&gt;0,J19/J10,0)</f>
      </c>
      <c r="K21" s="41">
        <f>IF(K10&lt;&gt;0,K19/K10,0)</f>
      </c>
      <c r="L21" s="41">
        <f>IF(L10&lt;&gt;0,L19/L10,0)</f>
      </c>
      <c r="M21" s="41">
        <f>IF(M10&lt;&gt;0,M19/M10,0)</f>
      </c>
      <c r="N21" s="41">
        <f>IF(N10&lt;&gt;0,N19/N10,0)</f>
      </c>
      <c r="O21" s="41">
        <f>IF(O10&lt;&gt;0,O19/O10,0)</f>
      </c>
    </row>
    <row r="22" spans="2:15" x14ac:dyDescent="0.25">
      <c r="B22" s="30" t="s">
        <v>143</v>
      </c>
      <c r="C22" s="7" t="s">
        <v>106</v>
      </c>
      <c r="F22" s="45">
        <f>IF(F15&lt;&gt;0,-F16/F15,0)</f>
      </c>
      <c r="G22" s="45">
        <f>IF(G15&lt;&gt;0,-G16/G15,0)</f>
      </c>
      <c r="H22" s="45">
        <f>IF(H15&lt;&gt;0,-H16/H15,0)</f>
      </c>
      <c r="I22" s="45">
        <f>IF(I15&lt;&gt;0,-I16/I15,0)</f>
      </c>
      <c r="J22" s="45">
        <f>IF(J15&lt;&gt;0,-J16/J15,0)</f>
      </c>
      <c r="K22" s="45">
        <f>IF(K15&lt;&gt;0,-K16/K15,0)</f>
      </c>
      <c r="L22" s="45">
        <f>IF(L15&lt;&gt;0,-L16/L15,0)</f>
      </c>
      <c r="M22" s="45">
        <f>IF(M15&lt;&gt;0,-M16/M15,0)</f>
      </c>
      <c r="N22" s="45">
        <f>IF(N15&lt;&gt;0,-N16/N15,0)</f>
      </c>
      <c r="O22" s="45">
        <f>IF(O15&lt;&gt;0,-O16/O15,0)</f>
      </c>
    </row>
    <row r="24" ht="18" customHeight="1" spans="2:15" x14ac:dyDescent="0.25">
      <c r="B24" s="5" t="s">
        <v>80</v>
      </c>
      <c r="C24" s="6"/>
      <c r="D24" s="6"/>
      <c r="E24" s="6"/>
      <c r="F24" s="6"/>
      <c r="G24" s="6"/>
      <c r="H24" s="6"/>
      <c r="I24" s="6"/>
      <c r="J24" s="6"/>
      <c r="K24" s="6"/>
      <c r="L24" s="6"/>
      <c r="M24" s="6"/>
      <c r="N24" s="6"/>
      <c r="O24" s="6"/>
    </row>
    <row r="25" spans="2:15" x14ac:dyDescent="0.25">
      <c r="B25" s="1" t="s">
        <v>144</v>
      </c>
      <c r="C25" s="7" t="s">
        <v>88</v>
      </c>
      <c r="F25" s="40">
        <f>FCF_Growth</f>
      </c>
      <c r="G25" s="40">
        <f>FCF_Growth</f>
      </c>
      <c r="H25" s="40">
        <f>FCF_Growth</f>
      </c>
      <c r="I25" s="40">
        <f>FCF_Growth</f>
      </c>
      <c r="J25" s="40">
        <f>FCF_Growth</f>
      </c>
      <c r="K25" s="41">
        <f>$J25+(TGR-$J25)*(K$4-5)/5</f>
      </c>
      <c r="L25" s="41">
        <f>$J25+(TGR-$J25)*(L$4-5)/5</f>
      </c>
      <c r="M25" s="41">
        <f>$J25+(TGR-$J25)*(M$4-5)/5</f>
      </c>
      <c r="N25" s="41">
        <f>$J25+(TGR-$J25)*(N$4-5)/5</f>
      </c>
      <c r="O25" s="41">
        <f>$J25+(TGR-$J25)*(O$4-5)/5</f>
      </c>
    </row>
    <row r="26" spans="2:15" x14ac:dyDescent="0.25">
      <c r="B26" s="1" t="s">
        <v>145</v>
      </c>
      <c r="C26" s="7" t="s">
        <v>82</v>
      </c>
      <c r="E26" s="42">
        <f>Base_FCF</f>
      </c>
      <c r="F26" s="43">
        <f>E26*(1+F25)</f>
      </c>
      <c r="G26" s="43">
        <f>F26*(1+G25)</f>
      </c>
      <c r="H26" s="43">
        <f>G26*(1+H25)</f>
      </c>
      <c r="I26" s="43">
        <f>H26*(1+I25)</f>
      </c>
      <c r="J26" s="43">
        <f>I26*(1+J25)</f>
      </c>
      <c r="K26" s="43">
        <f>J26*(1+K25)</f>
      </c>
      <c r="L26" s="43">
        <f>K26*(1+L25)</f>
      </c>
      <c r="M26" s="43">
        <f>L26*(1+M25)</f>
      </c>
      <c r="N26" s="43">
        <f>M26*(1+N25)</f>
      </c>
      <c r="O26" s="43">
        <f>N26*(1+O25)</f>
      </c>
    </row>
    <row r="28" ht="18" customHeight="1" spans="2:15" x14ac:dyDescent="0.25">
      <c r="B28" s="5" t="s">
        <v>146</v>
      </c>
      <c r="C28" s="6"/>
      <c r="D28" s="6"/>
      <c r="E28" s="6"/>
      <c r="F28" s="6"/>
      <c r="G28" s="6"/>
      <c r="H28" s="6"/>
      <c r="I28" s="6"/>
      <c r="J28" s="6"/>
      <c r="K28" s="6"/>
      <c r="L28" s="6"/>
      <c r="M28" s="6"/>
      <c r="N28" s="6"/>
      <c r="O28" s="6"/>
    </row>
    <row r="29" spans="2:15" x14ac:dyDescent="0.25">
      <c r="B29" s="29" t="s">
        <v>147</v>
      </c>
      <c r="C29" s="7" t="s">
        <v>82</v>
      </c>
      <c r="F29" s="46">
        <f>IF(Build_Flag=1,F19,F26)</f>
      </c>
      <c r="G29" s="46">
        <f>IF(Build_Flag=1,G19,G26)</f>
      </c>
      <c r="H29" s="46">
        <f>IF(Build_Flag=1,H19,H26)</f>
      </c>
      <c r="I29" s="46">
        <f>IF(Build_Flag=1,I19,I26)</f>
      </c>
      <c r="J29" s="46">
        <f>IF(Build_Flag=1,J19,J26)</f>
      </c>
      <c r="K29" s="46">
        <f>IF(Build_Flag=1,K19,K26)</f>
      </c>
      <c r="L29" s="46">
        <f>IF(Build_Flag=1,L19,L26)</f>
      </c>
      <c r="M29" s="46">
        <f>IF(Build_Flag=1,M19,M26)</f>
      </c>
      <c r="N29" s="46">
        <f>IF(Build_Flag=1,N19,N26)</f>
      </c>
      <c r="O29" s="46">
        <f>IF(Build_Flag=1,O19,O26)</f>
      </c>
    </row>
    <row r="30" spans="2:15" x14ac:dyDescent="0.25">
      <c r="B30" s="1" t="s">
        <v>148</v>
      </c>
      <c r="C30" s="7" t="s">
        <v>82</v>
      </c>
      <c r="F30" s="43">
        <f>IF(Build_Flag=1,F20,0)</f>
      </c>
      <c r="G30" s="43">
        <f>IF(Build_Flag=1,G20,0)</f>
      </c>
      <c r="H30" s="43">
        <f>IF(Build_Flag=1,H20,0)</f>
      </c>
      <c r="I30" s="43">
        <f>IF(Build_Flag=1,I20,0)</f>
      </c>
      <c r="J30" s="43">
        <f>IF(Build_Flag=1,J20,0)</f>
      </c>
      <c r="K30" s="43">
        <f>IF(Build_Flag=1,K20,0)</f>
      </c>
      <c r="L30" s="43">
        <f>IF(Build_Flag=1,L20,0)</f>
      </c>
      <c r="M30" s="43">
        <f>IF(Build_Flag=1,M20,0)</f>
      </c>
      <c r="N30" s="43">
        <f>IF(Build_Flag=1,N20,0)</f>
      </c>
      <c r="O30" s="43">
        <f>IF(Build_Flag=1,O20,0)</f>
      </c>
    </row>
  </sheetData>
  <conditionalFormatting sqref="F4:O30">
    <cfRule type="expression" dxfId="3" priority="1">
      <formula>F$4&gt;Forecast_Years</formula>
    </cfRule>
  </conditionalFormatting>
  <conditionalFormatting sqref="B9:O22">
    <cfRule type="expression" dxfId="4" priority="1">
      <formula>Build_Flag=0</formula>
    </cfRule>
  </conditionalFormatting>
  <conditionalFormatting sqref="B25:O26">
    <cfRule type="expression" dxfId="5" priority="1">
      <formula>Build_Flag=1</formula>
    </cfRule>
  </conditionalFormatting>
  <pageMargins left="0.5" right="0.5" top="0.6" bottom="0.6" header="0.3" footer="0.3"/>
  <pageSetup paperSize="9" orientation="landscape" fitToWidth="1" fitToHeight="1"/>
  <headerFooter>
    <oddFooter>&amp;L&amp;"Arial"&amp;8Swiss DCF Model v1.0.0&amp;C&amp;"Arial"&amp;8&amp;A&amp;R&amp;"Arial"&amp;8Page &amp;P of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E28"/>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40" style="1" customWidth="1"/>
    <col min="3" max="3" width="10" style="1" customWidth="1"/>
    <col min="4" max="4" width="38" style="1" customWidth="1"/>
    <col min="5" max="5" width="14" style="1" customWidth="1"/>
  </cols>
  <sheetData>
    <row r="1" ht="21" customHeight="1" spans="2:5" x14ac:dyDescent="0.25">
      <c r="B1" s="2" t="s">
        <v>29</v>
      </c>
      <c r="C1" s="3"/>
      <c r="D1" s="3"/>
      <c r="E1" s="3"/>
    </row>
    <row r="2" ht="16" customHeight="1" spans="2:2" x14ac:dyDescent="0.25">
      <c r="B2" s="4">
        <f>IF(Company_Name="","Company not specified",Company_Name)&amp;"   |   CHF m unless stated otherwise   |   Scenario: "&amp;IF(Build_Flag=1,Scenario,"not used (direct FCF)")&amp;"   |   Checks: "&amp;Check_Status</f>
      </c>
    </row>
    <row r="4" ht="18" customHeight="1" spans="2:5" x14ac:dyDescent="0.25">
      <c r="B4" s="5" t="s">
        <v>149</v>
      </c>
      <c r="C4" s="6"/>
      <c r="D4" s="6"/>
      <c r="E4" s="6"/>
    </row>
    <row r="5" spans="2:5" x14ac:dyDescent="0.25">
      <c r="B5" s="1" t="s">
        <v>42</v>
      </c>
      <c r="C5" s="7" t="s">
        <v>88</v>
      </c>
      <c r="E5" s="47">
        <f>Rf</f>
      </c>
    </row>
    <row r="6" spans="2:5" x14ac:dyDescent="0.25">
      <c r="B6" s="1" t="s">
        <v>109</v>
      </c>
      <c r="E6" s="48">
        <f>Beta_Type</f>
      </c>
    </row>
    <row r="7" spans="2:5" x14ac:dyDescent="0.25">
      <c r="B7" s="1" t="s">
        <v>150</v>
      </c>
      <c r="E7" s="49">
        <f>Beta_Input</f>
      </c>
    </row>
    <row r="8" spans="2:5" x14ac:dyDescent="0.25">
      <c r="B8" s="1" t="s">
        <v>114</v>
      </c>
      <c r="C8" s="7" t="s">
        <v>88</v>
      </c>
      <c r="E8" s="40">
        <f>Target_DV</f>
      </c>
    </row>
    <row r="9" spans="2:5" x14ac:dyDescent="0.25">
      <c r="B9" s="1" t="s">
        <v>151</v>
      </c>
      <c r="C9" s="7" t="s">
        <v>88</v>
      </c>
      <c r="E9" s="41">
        <f>1-E8</f>
      </c>
    </row>
    <row r="10" spans="2:5" x14ac:dyDescent="0.25">
      <c r="B10" s="1" t="s">
        <v>152</v>
      </c>
      <c r="C10" s="7" t="s">
        <v>106</v>
      </c>
      <c r="E10" s="50">
        <f>IF(E9&gt;0,E8/E9,0)</f>
      </c>
    </row>
    <row r="11" spans="2:5" x14ac:dyDescent="0.25">
      <c r="B11" s="1" t="s">
        <v>153</v>
      </c>
      <c r="C11" s="7" t="s">
        <v>88</v>
      </c>
      <c r="E11" s="40">
        <f>Tax_Rate</f>
      </c>
    </row>
    <row r="12" spans="2:5" x14ac:dyDescent="0.25">
      <c r="B12" s="1" t="s">
        <v>154</v>
      </c>
      <c r="E12" s="50">
        <f>IF(E6="Unlevered",E7*(1+(1-E11)*E10),E7)</f>
      </c>
    </row>
    <row r="13" spans="2:5" x14ac:dyDescent="0.25">
      <c r="B13" s="1" t="s">
        <v>155</v>
      </c>
      <c r="C13" s="7" t="s">
        <v>88</v>
      </c>
      <c r="E13" s="47">
        <f>MRP</f>
      </c>
    </row>
    <row r="14" spans="2:5" x14ac:dyDescent="0.25">
      <c r="B14" s="1" t="s">
        <v>156</v>
      </c>
      <c r="C14" s="7" t="s">
        <v>88</v>
      </c>
      <c r="D14" s="51" t="s">
        <v>157</v>
      </c>
      <c r="E14" s="52">
        <f>E5+E12*E13</f>
      </c>
    </row>
    <row r="16" ht="18" customHeight="1" spans="2:5" x14ac:dyDescent="0.25">
      <c r="B16" s="5" t="s">
        <v>158</v>
      </c>
      <c r="C16" s="6"/>
      <c r="D16" s="6"/>
      <c r="E16" s="6"/>
    </row>
    <row r="17" spans="2:5" x14ac:dyDescent="0.25">
      <c r="B17" s="1" t="s">
        <v>113</v>
      </c>
      <c r="C17" s="7" t="s">
        <v>88</v>
      </c>
      <c r="E17" s="47">
        <f>Cost_Of_Debt</f>
      </c>
    </row>
    <row r="18" spans="2:5" x14ac:dyDescent="0.25">
      <c r="B18" s="1" t="s">
        <v>159</v>
      </c>
      <c r="C18" s="7" t="s">
        <v>88</v>
      </c>
      <c r="E18" s="53">
        <f>E17*(1-E11)</f>
      </c>
    </row>
    <row r="20" ht="18" customHeight="1" spans="2:5" x14ac:dyDescent="0.25">
      <c r="B20" s="5" t="s">
        <v>29</v>
      </c>
      <c r="C20" s="6"/>
      <c r="D20" s="6"/>
      <c r="E20" s="6"/>
    </row>
    <row r="21" spans="2:5" x14ac:dyDescent="0.25">
      <c r="B21" s="1" t="s">
        <v>160</v>
      </c>
      <c r="C21" s="7" t="s">
        <v>88</v>
      </c>
      <c r="D21" s="51" t="s">
        <v>161</v>
      </c>
      <c r="E21" s="53">
        <f>E9*E14+E8*E18</f>
      </c>
    </row>
    <row r="22" spans="2:5" x14ac:dyDescent="0.25">
      <c r="B22" s="1" t="s">
        <v>162</v>
      </c>
      <c r="C22" s="7" t="s">
        <v>88</v>
      </c>
      <c r="E22" s="47">
        <f>WACC_Direct</f>
      </c>
    </row>
    <row r="23" spans="2:5" x14ac:dyDescent="0.25">
      <c r="B23" s="1" t="s">
        <v>69</v>
      </c>
      <c r="E23" s="48">
        <f>WACC_Source</f>
      </c>
    </row>
    <row r="24" spans="2:5" x14ac:dyDescent="0.25">
      <c r="B24" s="29" t="s">
        <v>16</v>
      </c>
      <c r="C24" s="7" t="s">
        <v>88</v>
      </c>
      <c r="E24" s="54">
        <f>IF(E23="CAPM",E21,E22)</f>
      </c>
    </row>
    <row r="26" ht="18" customHeight="1" spans="2:5" x14ac:dyDescent="0.25">
      <c r="B26" s="5" t="s">
        <v>163</v>
      </c>
      <c r="C26" s="6"/>
      <c r="D26" s="6"/>
      <c r="E26" s="6"/>
    </row>
    <row r="27" spans="2:5" x14ac:dyDescent="0.25">
      <c r="B27" s="1" t="s">
        <v>164</v>
      </c>
      <c r="C27" s="7" t="s">
        <v>88</v>
      </c>
      <c r="E27" s="47">
        <f>Implied_WACC</f>
      </c>
    </row>
    <row r="28" spans="2:5" x14ac:dyDescent="0.25">
      <c r="B28" s="1" t="s">
        <v>165</v>
      </c>
      <c r="C28" s="7" t="s">
        <v>88</v>
      </c>
      <c r="E28" s="53">
        <f>IF(ISNUMBER(E27),E21-E27,"n/a")</f>
      </c>
    </row>
  </sheetData>
  <pageMargins left="0.5" right="0.5" top="0.6" bottom="0.6" header="0.3" footer="0.3"/>
  <pageSetup paperSize="9" orientation="portrait" fitToWidth="1" fitToHeight="1"/>
  <headerFooter>
    <oddFooter>&amp;L&amp;"Arial"&amp;8Swiss DCF Model v1.0.0&amp;C&amp;"Arial"&amp;8&amp;A&amp;R&amp;"Arial"&amp;8Page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O46"/>
  <sheetViews>
    <sheetView workbookViewId="0" showGridLines="0" zoomScale="100">
      <pane xSplit="4" ySplit="6" topLeftCell="E7" activePane="bottomRight" state="frozen"/>
      <selection pane="bottomRight"/>
    </sheetView>
  </sheetViews>
  <sheetFormatPr defaultRowHeight="15" outlineLevelRow="0" outlineLevelCol="1" x14ac:dyDescent="55"/>
  <cols>
    <col min="1" max="1" width="2" style="1" customWidth="1"/>
    <col min="2" max="2" width="40" style="1" customWidth="1"/>
    <col min="3" max="3" width="10" style="1" customWidth="1"/>
    <col min="4" max="4" width="26" style="1" customWidth="1"/>
    <col min="5" max="10" width="11" style="1" customWidth="1"/>
    <col min="11" max="15" width="11" style="1" hidden="1" outlineLevel="1" collapsed="1" customWidth="1"/>
  </cols>
  <sheetData>
    <row r="1" ht="21" customHeight="1" spans="2:15" x14ac:dyDescent="0.25">
      <c r="B1" s="2" t="s">
        <v>31</v>
      </c>
      <c r="C1" s="3"/>
      <c r="D1" s="3"/>
      <c r="E1" s="3"/>
      <c r="F1" s="3"/>
      <c r="G1" s="3"/>
      <c r="H1" s="3"/>
      <c r="I1" s="3"/>
      <c r="J1" s="3"/>
      <c r="K1" s="3"/>
      <c r="L1" s="3"/>
      <c r="M1" s="3"/>
      <c r="N1" s="3"/>
      <c r="O1" s="3"/>
    </row>
    <row r="2" ht="16" customHeight="1" spans="2:2" x14ac:dyDescent="0.25">
      <c r="B2" s="4">
        <f>IF(Company_Name="","Company not specified",Company_Name)&amp;"   |   CHF m unless stated otherwise   |   Scenario: "&amp;IF(Build_Flag=1,Scenario,"not used (direct FCF)")&amp;"   |   Checks: "&amp;Check_Status</f>
      </c>
    </row>
    <row r="4" spans="2:15" x14ac:dyDescent="0.25">
      <c r="B4" s="1" t="s">
        <v>126</v>
      </c>
      <c r="C4" s="7" t="s">
        <v>127</v>
      </c>
      <c r="E4" s="55">
        <f>'FCF Build'!E4</f>
      </c>
      <c r="F4" s="55">
        <f>'FCF Build'!F4</f>
      </c>
      <c r="G4" s="55">
        <f>'FCF Build'!G4</f>
      </c>
      <c r="H4" s="55">
        <f>'FCF Build'!H4</f>
      </c>
      <c r="I4" s="55">
        <f>'FCF Build'!I4</f>
      </c>
      <c r="J4" s="55">
        <f>'FCF Build'!J4</f>
      </c>
      <c r="K4" s="55">
        <f>'FCF Build'!K4</f>
      </c>
      <c r="L4" s="55">
        <f>'FCF Build'!L4</f>
      </c>
      <c r="M4" s="55">
        <f>'FCF Build'!M4</f>
      </c>
      <c r="N4" s="55">
        <f>'FCF Build'!N4</f>
      </c>
      <c r="O4" s="55">
        <f>'FCF Build'!O4</f>
      </c>
    </row>
    <row r="5" spans="2:15" x14ac:dyDescent="0.25">
      <c r="B5" s="1" t="s">
        <v>128</v>
      </c>
      <c r="C5" s="7" t="s">
        <v>129</v>
      </c>
      <c r="E5" s="56">
        <f>'FCF Build'!E5</f>
      </c>
      <c r="F5" s="56">
        <f>'FCF Build'!F5</f>
      </c>
      <c r="G5" s="56">
        <f>'FCF Build'!G5</f>
      </c>
      <c r="H5" s="56">
        <f>'FCF Build'!H5</f>
      </c>
      <c r="I5" s="56">
        <f>'FCF Build'!I5</f>
      </c>
      <c r="J5" s="56">
        <f>'FCF Build'!J5</f>
      </c>
      <c r="K5" s="56">
        <f>'FCF Build'!K5</f>
      </c>
      <c r="L5" s="56">
        <f>'FCF Build'!L5</f>
      </c>
      <c r="M5" s="56">
        <f>'FCF Build'!M5</f>
      </c>
      <c r="N5" s="56">
        <f>'FCF Build'!N5</f>
      </c>
      <c r="O5" s="56">
        <f>'FCF Build'!O5</f>
      </c>
    </row>
    <row r="6" spans="2:15" x14ac:dyDescent="0.25">
      <c r="B6" s="1" t="s">
        <v>130</v>
      </c>
      <c r="C6" s="7" t="s">
        <v>131</v>
      </c>
      <c r="E6" s="57">
        <f>'FCF Build'!E6</f>
      </c>
      <c r="F6" s="57">
        <f>'FCF Build'!F6</f>
      </c>
      <c r="G6" s="57">
        <f>'FCF Build'!G6</f>
      </c>
      <c r="H6" s="57">
        <f>'FCF Build'!H6</f>
      </c>
      <c r="I6" s="57">
        <f>'FCF Build'!I6</f>
      </c>
      <c r="J6" s="57">
        <f>'FCF Build'!J6</f>
      </c>
      <c r="K6" s="57">
        <f>'FCF Build'!K6</f>
      </c>
      <c r="L6" s="57">
        <f>'FCF Build'!L6</f>
      </c>
      <c r="M6" s="57">
        <f>'FCF Build'!M6</f>
      </c>
      <c r="N6" s="57">
        <f>'FCF Build'!N6</f>
      </c>
      <c r="O6" s="57">
        <f>'FCF Build'!O6</f>
      </c>
    </row>
    <row r="8" ht="18" customHeight="1" spans="2:15" x14ac:dyDescent="0.25">
      <c r="B8" s="5" t="s">
        <v>166</v>
      </c>
      <c r="C8" s="6"/>
      <c r="D8" s="6"/>
      <c r="E8" s="6"/>
      <c r="F8" s="6"/>
      <c r="G8" s="6"/>
      <c r="H8" s="6"/>
      <c r="I8" s="6"/>
      <c r="J8" s="6"/>
      <c r="K8" s="6"/>
      <c r="L8" s="6"/>
      <c r="M8" s="6"/>
      <c r="N8" s="6"/>
      <c r="O8" s="6"/>
    </row>
    <row r="9" spans="2:15" x14ac:dyDescent="0.25">
      <c r="B9" s="1" t="s">
        <v>167</v>
      </c>
      <c r="C9" s="7" t="s">
        <v>82</v>
      </c>
      <c r="F9" s="42">
        <f>'FCF Build'!F29</f>
      </c>
      <c r="G9" s="42">
        <f>'FCF Build'!G29</f>
      </c>
      <c r="H9" s="42">
        <f>'FCF Build'!H29</f>
      </c>
      <c r="I9" s="42">
        <f>'FCF Build'!I29</f>
      </c>
      <c r="J9" s="42">
        <f>'FCF Build'!J29</f>
      </c>
      <c r="K9" s="42">
        <f>'FCF Build'!K29</f>
      </c>
      <c r="L9" s="42">
        <f>'FCF Build'!L29</f>
      </c>
      <c r="M9" s="42">
        <f>'FCF Build'!M29</f>
      </c>
      <c r="N9" s="42">
        <f>'FCF Build'!N29</f>
      </c>
      <c r="O9" s="42">
        <f>'FCF Build'!O29</f>
      </c>
    </row>
    <row r="10" spans="2:15" x14ac:dyDescent="0.25">
      <c r="B10" s="1" t="s">
        <v>168</v>
      </c>
      <c r="C10" s="7" t="s">
        <v>62</v>
      </c>
      <c r="F10" s="24">
        <f>F4-Mid_Year</f>
      </c>
      <c r="G10" s="24">
        <f>G4-Mid_Year</f>
      </c>
      <c r="H10" s="24">
        <f>H4-Mid_Year</f>
      </c>
      <c r="I10" s="24">
        <f>I4-Mid_Year</f>
      </c>
      <c r="J10" s="24">
        <f>J4-Mid_Year</f>
      </c>
      <c r="K10" s="24">
        <f>K4-Mid_Year</f>
      </c>
      <c r="L10" s="24">
        <f>L4-Mid_Year</f>
      </c>
      <c r="M10" s="24">
        <f>M4-Mid_Year</f>
      </c>
      <c r="N10" s="24">
        <f>N4-Mid_Year</f>
      </c>
      <c r="O10" s="24">
        <f>O4-Mid_Year</f>
      </c>
    </row>
    <row r="11" spans="2:15" x14ac:dyDescent="0.25">
      <c r="B11" s="1" t="s">
        <v>169</v>
      </c>
      <c r="D11" s="51" t="s">
        <v>170</v>
      </c>
      <c r="F11" s="58">
        <f>1/(1+WACC)^F10</f>
      </c>
      <c r="G11" s="58">
        <f>1/(1+WACC)^G10</f>
      </c>
      <c r="H11" s="58">
        <f>1/(1+WACC)^H10</f>
      </c>
      <c r="I11" s="58">
        <f>1/(1+WACC)^I10</f>
      </c>
      <c r="J11" s="58">
        <f>1/(1+WACC)^J10</f>
      </c>
      <c r="K11" s="58">
        <f>1/(1+WACC)^K10</f>
      </c>
      <c r="L11" s="58">
        <f>1/(1+WACC)^L10</f>
      </c>
      <c r="M11" s="58">
        <f>1/(1+WACC)^M10</f>
      </c>
      <c r="N11" s="58">
        <f>1/(1+WACC)^N10</f>
      </c>
      <c r="O11" s="58">
        <f>1/(1+WACC)^O10</f>
      </c>
    </row>
    <row r="12" spans="2:15" x14ac:dyDescent="0.25">
      <c r="B12" s="29" t="s">
        <v>171</v>
      </c>
      <c r="C12" s="7" t="s">
        <v>82</v>
      </c>
      <c r="F12" s="44">
        <f>F9*F11*F6</f>
      </c>
      <c r="G12" s="44">
        <f>G9*G11*G6</f>
      </c>
      <c r="H12" s="44">
        <f>H9*H11*H6</f>
      </c>
      <c r="I12" s="44">
        <f>I9*I11*I6</f>
      </c>
      <c r="J12" s="44">
        <f>J9*J11*J6</f>
      </c>
      <c r="K12" s="44">
        <f>K9*K11*K6</f>
      </c>
      <c r="L12" s="44">
        <f>L9*L11*L6</f>
      </c>
      <c r="M12" s="44">
        <f>M9*M11*M6</f>
      </c>
      <c r="N12" s="44">
        <f>N9*N11*N6</f>
      </c>
      <c r="O12" s="44">
        <f>O9*O11*O6</f>
      </c>
    </row>
    <row r="14" ht="18" customHeight="1" spans="2:5" x14ac:dyDescent="0.25">
      <c r="B14" s="5" t="s">
        <v>115</v>
      </c>
      <c r="C14" s="6"/>
      <c r="D14" s="6"/>
      <c r="E14" s="6"/>
    </row>
    <row r="15" spans="2:5" x14ac:dyDescent="0.25">
      <c r="B15" s="1" t="s">
        <v>172</v>
      </c>
      <c r="C15" s="7" t="s">
        <v>57</v>
      </c>
      <c r="E15" s="57">
        <f>Forecast_Years</f>
      </c>
    </row>
    <row r="16" spans="2:5" x14ac:dyDescent="0.25">
      <c r="B16" s="1" t="s">
        <v>173</v>
      </c>
      <c r="C16" s="7" t="s">
        <v>82</v>
      </c>
      <c r="E16" s="43">
        <f>INDEX($F$9:$O$9,1,E15)</f>
      </c>
    </row>
    <row r="17" spans="2:5" x14ac:dyDescent="0.25">
      <c r="B17" s="1" t="s">
        <v>174</v>
      </c>
      <c r="C17" s="7" t="s">
        <v>82</v>
      </c>
      <c r="E17" s="43">
        <f>INDEX('FCF Build'!$F$30:$O$30,1,E15)</f>
      </c>
    </row>
    <row r="18" spans="2:5" x14ac:dyDescent="0.25">
      <c r="B18" s="1" t="s">
        <v>116</v>
      </c>
      <c r="C18" s="7" t="s">
        <v>88</v>
      </c>
      <c r="E18" s="40">
        <f>TGR</f>
      </c>
    </row>
    <row r="19" spans="2:5" x14ac:dyDescent="0.25">
      <c r="B19" s="1" t="s">
        <v>175</v>
      </c>
      <c r="C19" s="7" t="s">
        <v>82</v>
      </c>
      <c r="D19" s="51" t="s">
        <v>176</v>
      </c>
      <c r="E19" s="43">
        <f>IF(E18&lt;WACC,E16*(1+E18)/(WACC-E18),0)</f>
      </c>
    </row>
    <row r="20" spans="2:5" x14ac:dyDescent="0.25">
      <c r="B20" s="1" t="s">
        <v>105</v>
      </c>
      <c r="C20" s="7" t="s">
        <v>106</v>
      </c>
      <c r="E20" s="59">
        <f>Exit_Multiple</f>
      </c>
    </row>
    <row r="21" spans="2:5" x14ac:dyDescent="0.25">
      <c r="B21" s="1" t="s">
        <v>177</v>
      </c>
      <c r="C21" s="7" t="s">
        <v>82</v>
      </c>
      <c r="D21" s="51" t="s">
        <v>178</v>
      </c>
      <c r="E21" s="43">
        <f>E17*E20</f>
      </c>
    </row>
    <row r="22" spans="2:5" x14ac:dyDescent="0.25">
      <c r="B22" s="1" t="s">
        <v>70</v>
      </c>
      <c r="E22" s="48">
        <f>TV_Method</f>
      </c>
    </row>
    <row r="23" spans="2:5" x14ac:dyDescent="0.25">
      <c r="B23" s="1" t="s">
        <v>179</v>
      </c>
      <c r="C23" s="7" t="s">
        <v>82</v>
      </c>
      <c r="E23" s="43">
        <f>IF(Exit_Flag=1,E21,E19)</f>
      </c>
    </row>
    <row r="24" spans="2:5" x14ac:dyDescent="0.25">
      <c r="B24" s="1" t="s">
        <v>180</v>
      </c>
      <c r="C24" s="7" t="s">
        <v>62</v>
      </c>
      <c r="E24" s="24">
        <f>IF(Exit_Flag=1,E15,E15-Mid_Year)</f>
      </c>
    </row>
    <row r="25" spans="2:5" x14ac:dyDescent="0.25">
      <c r="B25" s="1" t="s">
        <v>181</v>
      </c>
      <c r="C25" s="7" t="s">
        <v>82</v>
      </c>
      <c r="E25" s="44">
        <f>E23/(1+WACC)^E24</f>
      </c>
    </row>
    <row r="27" ht="18" customHeight="1" spans="2:5" x14ac:dyDescent="0.25">
      <c r="B27" s="5" t="s">
        <v>182</v>
      </c>
      <c r="C27" s="6"/>
      <c r="D27" s="6"/>
      <c r="E27" s="6"/>
    </row>
    <row r="28" spans="2:5" x14ac:dyDescent="0.25">
      <c r="B28" s="1" t="s">
        <v>183</v>
      </c>
      <c r="C28" s="7" t="s">
        <v>106</v>
      </c>
      <c r="E28" s="45">
        <f>IF(AND(Build_Flag=1,E17&gt;0,E18&lt;WACC),E19/E17,"n/a")</f>
      </c>
    </row>
    <row r="29" spans="2:5" x14ac:dyDescent="0.25">
      <c r="B29" s="1" t="s">
        <v>184</v>
      </c>
      <c r="C29" s="7" t="s">
        <v>88</v>
      </c>
      <c r="E29" s="41">
        <f>IF(AND(Build_Flag=1,E21+E16*(1+WACC)^Mid_Year&lt;&gt;0),(E21*WACC-E16*(1+WACC)^Mid_Year)/(E21+E16*(1+WACC)^Mid_Year),"n/a")</f>
      </c>
    </row>
    <row r="31" ht="18" customHeight="1" spans="2:5" x14ac:dyDescent="0.25">
      <c r="B31" s="5" t="s">
        <v>185</v>
      </c>
      <c r="C31" s="6"/>
      <c r="D31" s="6"/>
      <c r="E31" s="6"/>
    </row>
    <row r="32" spans="2:5" x14ac:dyDescent="0.25">
      <c r="B32" s="1" t="s">
        <v>186</v>
      </c>
      <c r="C32" s="7" t="s">
        <v>82</v>
      </c>
      <c r="E32" s="43">
        <f>SUM(F12:O12)</f>
      </c>
    </row>
    <row r="33" spans="2:5" x14ac:dyDescent="0.25">
      <c r="B33" s="1" t="s">
        <v>181</v>
      </c>
      <c r="C33" s="7" t="s">
        <v>82</v>
      </c>
      <c r="E33" s="43">
        <f>E25</f>
      </c>
    </row>
    <row r="34" spans="2:5" x14ac:dyDescent="0.25">
      <c r="B34" s="29" t="s">
        <v>187</v>
      </c>
      <c r="C34" s="7" t="s">
        <v>82</v>
      </c>
      <c r="E34" s="44">
        <f>E32+E33</f>
      </c>
    </row>
    <row r="35" spans="2:5" x14ac:dyDescent="0.25">
      <c r="B35" s="30" t="s">
        <v>188</v>
      </c>
      <c r="C35" s="7" t="s">
        <v>82</v>
      </c>
      <c r="E35" s="42">
        <f>Cash</f>
      </c>
    </row>
    <row r="36" spans="2:5" x14ac:dyDescent="0.25">
      <c r="B36" s="30" t="s">
        <v>189</v>
      </c>
      <c r="C36" s="7" t="s">
        <v>82</v>
      </c>
      <c r="E36" s="43">
        <f>-Debt</f>
      </c>
    </row>
    <row r="37" spans="2:5" x14ac:dyDescent="0.25">
      <c r="B37" s="30" t="s">
        <v>190</v>
      </c>
      <c r="C37" s="7" t="s">
        <v>82</v>
      </c>
      <c r="E37" s="43">
        <f>-Minorities</f>
      </c>
    </row>
    <row r="38" spans="2:5" x14ac:dyDescent="0.25">
      <c r="B38" s="30" t="s">
        <v>191</v>
      </c>
      <c r="C38" s="7" t="s">
        <v>82</v>
      </c>
      <c r="E38" s="42">
        <f>Investments</f>
      </c>
    </row>
    <row r="39" spans="2:5" x14ac:dyDescent="0.25">
      <c r="B39" s="30" t="s">
        <v>192</v>
      </c>
      <c r="C39" s="7" t="s">
        <v>82</v>
      </c>
      <c r="E39" s="43">
        <f>-Pensions</f>
      </c>
    </row>
    <row r="40" spans="2:5" x14ac:dyDescent="0.25">
      <c r="B40" s="29" t="s">
        <v>193</v>
      </c>
      <c r="C40" s="7" t="s">
        <v>82</v>
      </c>
      <c r="E40" s="44">
        <f>SUM(E34:E39)</f>
      </c>
    </row>
    <row r="41" spans="2:5" x14ac:dyDescent="0.25">
      <c r="B41" s="1" t="s">
        <v>123</v>
      </c>
      <c r="C41" s="7" t="s">
        <v>124</v>
      </c>
      <c r="E41" s="42">
        <f>Shares</f>
      </c>
    </row>
    <row r="42" spans="2:5" x14ac:dyDescent="0.25">
      <c r="B42" s="29" t="s">
        <v>194</v>
      </c>
      <c r="C42" s="7" t="s">
        <v>55</v>
      </c>
      <c r="E42" s="60">
        <f>IF(Model_Valid=1,E40/E41,"n/a")</f>
      </c>
    </row>
    <row r="43" spans="2:5" x14ac:dyDescent="0.25">
      <c r="B43" s="1" t="s">
        <v>125</v>
      </c>
      <c r="C43" s="7" t="s">
        <v>55</v>
      </c>
      <c r="E43" s="61">
        <f>Share_Price</f>
      </c>
    </row>
    <row r="44" spans="2:5" x14ac:dyDescent="0.25">
      <c r="B44" s="1" t="s">
        <v>195</v>
      </c>
      <c r="C44" s="7" t="s">
        <v>88</v>
      </c>
      <c r="E44" s="41">
        <f>IF(AND(ISNUMBER(E42),E43&gt;0),E42/E43-1,"n/a")</f>
      </c>
    </row>
    <row r="45" spans="2:5" x14ac:dyDescent="0.25">
      <c r="B45" s="1" t="s">
        <v>196</v>
      </c>
      <c r="C45" s="7" t="s">
        <v>88</v>
      </c>
      <c r="E45" s="41">
        <f>IF(E34&lt;&gt;0,E33/E34,0)</f>
      </c>
    </row>
    <row r="46" spans="2:5" x14ac:dyDescent="0.25">
      <c r="B46" s="1" t="s">
        <v>197</v>
      </c>
      <c r="C46" s="7" t="s">
        <v>82</v>
      </c>
      <c r="E46" s="43">
        <f>SUM(E35:E39)</f>
      </c>
    </row>
  </sheetData>
  <conditionalFormatting sqref="F4:O12">
    <cfRule type="expression" dxfId="6" priority="1">
      <formula>F$4&gt;Forecast_Years</formula>
    </cfRule>
  </conditionalFormatting>
  <pageMargins left="0.5" right="0.5" top="0.6" bottom="0.6" header="0.3" footer="0.3"/>
  <pageSetup paperSize="9" orientation="landscape" fitToWidth="1" fitToHeight="1"/>
  <headerFooter>
    <oddFooter>&amp;L&amp;"Arial"&amp;8Swiss DCF Model v1.0.0&amp;C&amp;"Arial"&amp;8&amp;A&amp;R&amp;"Arial"&amp;8Page &amp;P of &amp;N</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H31"/>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30" style="1" customWidth="1"/>
    <col min="3" max="3" width="14" style="1" customWidth="1"/>
    <col min="4" max="8" width="12" style="1" customWidth="1"/>
  </cols>
  <sheetData>
    <row r="1" ht="21" customHeight="1" spans="2:8" x14ac:dyDescent="0.25">
      <c r="B1" s="2" t="s">
        <v>33</v>
      </c>
      <c r="C1" s="3"/>
      <c r="D1" s="3"/>
      <c r="E1" s="3"/>
      <c r="F1" s="3"/>
      <c r="G1" s="3"/>
      <c r="H1" s="3"/>
    </row>
    <row r="2" ht="16" customHeight="1" spans="2:2" x14ac:dyDescent="0.25">
      <c r="B2" s="4">
        <f>IF(Company_Name="","Company not specified",Company_Name)&amp;"   |   CHF m unless stated otherwise   |   Scenario: "&amp;IF(Build_Flag=1,Scenario,"not used (direct FCF)")&amp;"   |   Checks: "&amp;Check_Status</f>
      </c>
    </row>
    <row r="4" ht="18" customHeight="1" spans="2:8" x14ac:dyDescent="0.25">
      <c r="B4" s="5" t="s">
        <v>198</v>
      </c>
      <c r="C4" s="6"/>
      <c r="D4" s="6"/>
      <c r="E4" s="6"/>
      <c r="F4" s="6"/>
      <c r="G4" s="6"/>
      <c r="H4" s="6"/>
    </row>
    <row r="5" spans="3:8" x14ac:dyDescent="0.25">
      <c r="C5" s="28" t="s">
        <v>199</v>
      </c>
      <c r="D5" s="62">
        <f>TGR-2*Step_TGR</f>
      </c>
      <c r="E5" s="62">
        <f>TGR-Step_TGR</f>
      </c>
      <c r="F5" s="63">
        <f>TGR</f>
      </c>
      <c r="G5" s="62">
        <f>TGR+Step_TGR</f>
      </c>
      <c r="H5" s="62">
        <f>TGR+2*Step_TGR</f>
      </c>
    </row>
    <row r="6" spans="3:8" x14ac:dyDescent="0.25">
      <c r="C6" s="64">
        <f>WACC-2*Step_WACC</f>
      </c>
      <c r="D6" s="65">
        <f>IF(AND(Inputs_OK=1,D$5&lt;$C6),(SUMPRODUCT(FCF_Used,In_Forecast,1/(1+$C6)^Disc_Period)+FCF_N*(1+D$5)/($C6-D$5)/(1+$C6)^(Forecast_Years-Mid_Year)+Net_Bridge)/Shares,"n/a")</f>
      </c>
      <c r="E6" s="65">
        <f>IF(AND(Inputs_OK=1,E$5&lt;$C6),(SUMPRODUCT(FCF_Used,In_Forecast,1/(1+$C6)^Disc_Period)+FCF_N*(1+E$5)/($C6-E$5)/(1+$C6)^(Forecast_Years-Mid_Year)+Net_Bridge)/Shares,"n/a")</f>
      </c>
      <c r="F6" s="65">
        <f>IF(AND(Inputs_OK=1,F$5&lt;$C6),(SUMPRODUCT(FCF_Used,In_Forecast,1/(1+$C6)^Disc_Period)+FCF_N*(1+F$5)/($C6-F$5)/(1+$C6)^(Forecast_Years-Mid_Year)+Net_Bridge)/Shares,"n/a")</f>
      </c>
      <c r="G6" s="65">
        <f>IF(AND(Inputs_OK=1,G$5&lt;$C6),(SUMPRODUCT(FCF_Used,In_Forecast,1/(1+$C6)^Disc_Period)+FCF_N*(1+G$5)/($C6-G$5)/(1+$C6)^(Forecast_Years-Mid_Year)+Net_Bridge)/Shares,"n/a")</f>
      </c>
      <c r="H6" s="65">
        <f>IF(AND(Inputs_OK=1,H$5&lt;$C6),(SUMPRODUCT(FCF_Used,In_Forecast,1/(1+$C6)^Disc_Period)+FCF_N*(1+H$5)/($C6-H$5)/(1+$C6)^(Forecast_Years-Mid_Year)+Net_Bridge)/Shares,"n/a")</f>
      </c>
    </row>
    <row r="7" spans="3:8" x14ac:dyDescent="0.25">
      <c r="C7" s="64">
        <f>WACC-Step_WACC</f>
      </c>
      <c r="D7" s="65">
        <f>IF(AND(Inputs_OK=1,D$5&lt;$C7),(SUMPRODUCT(FCF_Used,In_Forecast,1/(1+$C7)^Disc_Period)+FCF_N*(1+D$5)/($C7-D$5)/(1+$C7)^(Forecast_Years-Mid_Year)+Net_Bridge)/Shares,"n/a")</f>
      </c>
      <c r="E7" s="65">
        <f>IF(AND(Inputs_OK=1,E$5&lt;$C7),(SUMPRODUCT(FCF_Used,In_Forecast,1/(1+$C7)^Disc_Period)+FCF_N*(1+E$5)/($C7-E$5)/(1+$C7)^(Forecast_Years-Mid_Year)+Net_Bridge)/Shares,"n/a")</f>
      </c>
      <c r="F7" s="65">
        <f>IF(AND(Inputs_OK=1,F$5&lt;$C7),(SUMPRODUCT(FCF_Used,In_Forecast,1/(1+$C7)^Disc_Period)+FCF_N*(1+F$5)/($C7-F$5)/(1+$C7)^(Forecast_Years-Mid_Year)+Net_Bridge)/Shares,"n/a")</f>
      </c>
      <c r="G7" s="65">
        <f>IF(AND(Inputs_OK=1,G$5&lt;$C7),(SUMPRODUCT(FCF_Used,In_Forecast,1/(1+$C7)^Disc_Period)+FCF_N*(1+G$5)/($C7-G$5)/(1+$C7)^(Forecast_Years-Mid_Year)+Net_Bridge)/Shares,"n/a")</f>
      </c>
      <c r="H7" s="65">
        <f>IF(AND(Inputs_OK=1,H$5&lt;$C7),(SUMPRODUCT(FCF_Used,In_Forecast,1/(1+$C7)^Disc_Period)+FCF_N*(1+H$5)/($C7-H$5)/(1+$C7)^(Forecast_Years-Mid_Year)+Net_Bridge)/Shares,"n/a")</f>
      </c>
    </row>
    <row r="8" spans="3:8" x14ac:dyDescent="0.25">
      <c r="C8" s="66">
        <f>WACC</f>
      </c>
      <c r="D8" s="65">
        <f>IF(AND(Inputs_OK=1,D$5&lt;$C8),(SUMPRODUCT(FCF_Used,In_Forecast,1/(1+$C8)^Disc_Period)+FCF_N*(1+D$5)/($C8-D$5)/(1+$C8)^(Forecast_Years-Mid_Year)+Net_Bridge)/Shares,"n/a")</f>
      </c>
      <c r="E8" s="65">
        <f>IF(AND(Inputs_OK=1,E$5&lt;$C8),(SUMPRODUCT(FCF_Used,In_Forecast,1/(1+$C8)^Disc_Period)+FCF_N*(1+E$5)/($C8-E$5)/(1+$C8)^(Forecast_Years-Mid_Year)+Net_Bridge)/Shares,"n/a")</f>
      </c>
      <c r="F8" s="67">
        <f>IF(AND(Inputs_OK=1,F$5&lt;$C8),(SUMPRODUCT(FCF_Used,In_Forecast,1/(1+$C8)^Disc_Period)+FCF_N*(1+F$5)/($C8-F$5)/(1+$C8)^(Forecast_Years-Mid_Year)+Net_Bridge)/Shares,"n/a")</f>
      </c>
      <c r="G8" s="65">
        <f>IF(AND(Inputs_OK=1,G$5&lt;$C8),(SUMPRODUCT(FCF_Used,In_Forecast,1/(1+$C8)^Disc_Period)+FCF_N*(1+G$5)/($C8-G$5)/(1+$C8)^(Forecast_Years-Mid_Year)+Net_Bridge)/Shares,"n/a")</f>
      </c>
      <c r="H8" s="65">
        <f>IF(AND(Inputs_OK=1,H$5&lt;$C8),(SUMPRODUCT(FCF_Used,In_Forecast,1/(1+$C8)^Disc_Period)+FCF_N*(1+H$5)/($C8-H$5)/(1+$C8)^(Forecast_Years-Mid_Year)+Net_Bridge)/Shares,"n/a")</f>
      </c>
    </row>
    <row r="9" spans="3:8" x14ac:dyDescent="0.25">
      <c r="C9" s="64">
        <f>WACC+Step_WACC</f>
      </c>
      <c r="D9" s="65">
        <f>IF(AND(Inputs_OK=1,D$5&lt;$C9),(SUMPRODUCT(FCF_Used,In_Forecast,1/(1+$C9)^Disc_Period)+FCF_N*(1+D$5)/($C9-D$5)/(1+$C9)^(Forecast_Years-Mid_Year)+Net_Bridge)/Shares,"n/a")</f>
      </c>
      <c r="E9" s="65">
        <f>IF(AND(Inputs_OK=1,E$5&lt;$C9),(SUMPRODUCT(FCF_Used,In_Forecast,1/(1+$C9)^Disc_Period)+FCF_N*(1+E$5)/($C9-E$5)/(1+$C9)^(Forecast_Years-Mid_Year)+Net_Bridge)/Shares,"n/a")</f>
      </c>
      <c r="F9" s="65">
        <f>IF(AND(Inputs_OK=1,F$5&lt;$C9),(SUMPRODUCT(FCF_Used,In_Forecast,1/(1+$C9)^Disc_Period)+FCF_N*(1+F$5)/($C9-F$5)/(1+$C9)^(Forecast_Years-Mid_Year)+Net_Bridge)/Shares,"n/a")</f>
      </c>
      <c r="G9" s="65">
        <f>IF(AND(Inputs_OK=1,G$5&lt;$C9),(SUMPRODUCT(FCF_Used,In_Forecast,1/(1+$C9)^Disc_Period)+FCF_N*(1+G$5)/($C9-G$5)/(1+$C9)^(Forecast_Years-Mid_Year)+Net_Bridge)/Shares,"n/a")</f>
      </c>
      <c r="H9" s="65">
        <f>IF(AND(Inputs_OK=1,H$5&lt;$C9),(SUMPRODUCT(FCF_Used,In_Forecast,1/(1+$C9)^Disc_Period)+FCF_N*(1+H$5)/($C9-H$5)/(1+$C9)^(Forecast_Years-Mid_Year)+Net_Bridge)/Shares,"n/a")</f>
      </c>
    </row>
    <row r="10" spans="3:8" x14ac:dyDescent="0.25">
      <c r="C10" s="64">
        <f>WACC+2*Step_WACC</f>
      </c>
      <c r="D10" s="65">
        <f>IF(AND(Inputs_OK=1,D$5&lt;$C10),(SUMPRODUCT(FCF_Used,In_Forecast,1/(1+$C10)^Disc_Period)+FCF_N*(1+D$5)/($C10-D$5)/(1+$C10)^(Forecast_Years-Mid_Year)+Net_Bridge)/Shares,"n/a")</f>
      </c>
      <c r="E10" s="65">
        <f>IF(AND(Inputs_OK=1,E$5&lt;$C10),(SUMPRODUCT(FCF_Used,In_Forecast,1/(1+$C10)^Disc_Period)+FCF_N*(1+E$5)/($C10-E$5)/(1+$C10)^(Forecast_Years-Mid_Year)+Net_Bridge)/Shares,"n/a")</f>
      </c>
      <c r="F10" s="65">
        <f>IF(AND(Inputs_OK=1,F$5&lt;$C10),(SUMPRODUCT(FCF_Used,In_Forecast,1/(1+$C10)^Disc_Period)+FCF_N*(1+F$5)/($C10-F$5)/(1+$C10)^(Forecast_Years-Mid_Year)+Net_Bridge)/Shares,"n/a")</f>
      </c>
      <c r="G10" s="65">
        <f>IF(AND(Inputs_OK=1,G$5&lt;$C10),(SUMPRODUCT(FCF_Used,In_Forecast,1/(1+$C10)^Disc_Period)+FCF_N*(1+G$5)/($C10-G$5)/(1+$C10)^(Forecast_Years-Mid_Year)+Net_Bridge)/Shares,"n/a")</f>
      </c>
      <c r="H10" s="65">
        <f>IF(AND(Inputs_OK=1,H$5&lt;$C10),(SUMPRODUCT(FCF_Used,In_Forecast,1/(1+$C10)^Disc_Period)+FCF_N*(1+H$5)/($C10-H$5)/(1+$C10)^(Forecast_Years-Mid_Year)+Net_Bridge)/Shares,"n/a")</f>
      </c>
    </row>
    <row r="13" ht="18" customHeight="1" spans="2:8" x14ac:dyDescent="0.25">
      <c r="B13" s="5" t="s">
        <v>200</v>
      </c>
      <c r="C13" s="6"/>
      <c r="D13" s="6"/>
      <c r="E13" s="6"/>
      <c r="F13" s="6"/>
      <c r="G13" s="6"/>
      <c r="H13" s="6"/>
    </row>
    <row r="14" spans="3:8" x14ac:dyDescent="0.25">
      <c r="C14" s="28" t="s">
        <v>201</v>
      </c>
      <c r="D14" s="68">
        <f>Exit_Multiple-2*Step_Multiple</f>
      </c>
      <c r="E14" s="68">
        <f>Exit_Multiple-Step_Multiple</f>
      </c>
      <c r="F14" s="69">
        <f>Exit_Multiple</f>
      </c>
      <c r="G14" s="68">
        <f>Exit_Multiple+Step_Multiple</f>
      </c>
      <c r="H14" s="68">
        <f>Exit_Multiple+2*Step_Multiple</f>
      </c>
    </row>
    <row r="15" spans="3:8" x14ac:dyDescent="0.25">
      <c r="C15" s="64">
        <f>WACC-2*Step_WACC</f>
      </c>
      <c r="D15" s="65">
        <f>IF(AND(Inputs_OK=1,Build_Flag=1),(SUMPRODUCT(FCF_Used,In_Forecast,1/(1+$C15)^Disc_Period)+EBITDA_N*D$14/(1+$C15)^Forecast_Years+Net_Bridge)/Shares,"n/a")</f>
      </c>
      <c r="E15" s="65">
        <f>IF(AND(Inputs_OK=1,Build_Flag=1),(SUMPRODUCT(FCF_Used,In_Forecast,1/(1+$C15)^Disc_Period)+EBITDA_N*E$14/(1+$C15)^Forecast_Years+Net_Bridge)/Shares,"n/a")</f>
      </c>
      <c r="F15" s="65">
        <f>IF(AND(Inputs_OK=1,Build_Flag=1),(SUMPRODUCT(FCF_Used,In_Forecast,1/(1+$C15)^Disc_Period)+EBITDA_N*F$14/(1+$C15)^Forecast_Years+Net_Bridge)/Shares,"n/a")</f>
      </c>
      <c r="G15" s="65">
        <f>IF(AND(Inputs_OK=1,Build_Flag=1),(SUMPRODUCT(FCF_Used,In_Forecast,1/(1+$C15)^Disc_Period)+EBITDA_N*G$14/(1+$C15)^Forecast_Years+Net_Bridge)/Shares,"n/a")</f>
      </c>
      <c r="H15" s="65">
        <f>IF(AND(Inputs_OK=1,Build_Flag=1),(SUMPRODUCT(FCF_Used,In_Forecast,1/(1+$C15)^Disc_Period)+EBITDA_N*H$14/(1+$C15)^Forecast_Years+Net_Bridge)/Shares,"n/a")</f>
      </c>
    </row>
    <row r="16" spans="3:8" x14ac:dyDescent="0.25">
      <c r="C16" s="64">
        <f>WACC-Step_WACC</f>
      </c>
      <c r="D16" s="65">
        <f>IF(AND(Inputs_OK=1,Build_Flag=1),(SUMPRODUCT(FCF_Used,In_Forecast,1/(1+$C16)^Disc_Period)+EBITDA_N*D$14/(1+$C16)^Forecast_Years+Net_Bridge)/Shares,"n/a")</f>
      </c>
      <c r="E16" s="65">
        <f>IF(AND(Inputs_OK=1,Build_Flag=1),(SUMPRODUCT(FCF_Used,In_Forecast,1/(1+$C16)^Disc_Period)+EBITDA_N*E$14/(1+$C16)^Forecast_Years+Net_Bridge)/Shares,"n/a")</f>
      </c>
      <c r="F16" s="65">
        <f>IF(AND(Inputs_OK=1,Build_Flag=1),(SUMPRODUCT(FCF_Used,In_Forecast,1/(1+$C16)^Disc_Period)+EBITDA_N*F$14/(1+$C16)^Forecast_Years+Net_Bridge)/Shares,"n/a")</f>
      </c>
      <c r="G16" s="65">
        <f>IF(AND(Inputs_OK=1,Build_Flag=1),(SUMPRODUCT(FCF_Used,In_Forecast,1/(1+$C16)^Disc_Period)+EBITDA_N*G$14/(1+$C16)^Forecast_Years+Net_Bridge)/Shares,"n/a")</f>
      </c>
      <c r="H16" s="65">
        <f>IF(AND(Inputs_OK=1,Build_Flag=1),(SUMPRODUCT(FCF_Used,In_Forecast,1/(1+$C16)^Disc_Period)+EBITDA_N*H$14/(1+$C16)^Forecast_Years+Net_Bridge)/Shares,"n/a")</f>
      </c>
    </row>
    <row r="17" spans="3:8" x14ac:dyDescent="0.25">
      <c r="C17" s="66">
        <f>WACC</f>
      </c>
      <c r="D17" s="65">
        <f>IF(AND(Inputs_OK=1,Build_Flag=1),(SUMPRODUCT(FCF_Used,In_Forecast,1/(1+$C17)^Disc_Period)+EBITDA_N*D$14/(1+$C17)^Forecast_Years+Net_Bridge)/Shares,"n/a")</f>
      </c>
      <c r="E17" s="65">
        <f>IF(AND(Inputs_OK=1,Build_Flag=1),(SUMPRODUCT(FCF_Used,In_Forecast,1/(1+$C17)^Disc_Period)+EBITDA_N*E$14/(1+$C17)^Forecast_Years+Net_Bridge)/Shares,"n/a")</f>
      </c>
      <c r="F17" s="67">
        <f>IF(AND(Inputs_OK=1,Build_Flag=1),(SUMPRODUCT(FCF_Used,In_Forecast,1/(1+$C17)^Disc_Period)+EBITDA_N*F$14/(1+$C17)^Forecast_Years+Net_Bridge)/Shares,"n/a")</f>
      </c>
      <c r="G17" s="65">
        <f>IF(AND(Inputs_OK=1,Build_Flag=1),(SUMPRODUCT(FCF_Used,In_Forecast,1/(1+$C17)^Disc_Period)+EBITDA_N*G$14/(1+$C17)^Forecast_Years+Net_Bridge)/Shares,"n/a")</f>
      </c>
      <c r="H17" s="65">
        <f>IF(AND(Inputs_OK=1,Build_Flag=1),(SUMPRODUCT(FCF_Used,In_Forecast,1/(1+$C17)^Disc_Period)+EBITDA_N*H$14/(1+$C17)^Forecast_Years+Net_Bridge)/Shares,"n/a")</f>
      </c>
    </row>
    <row r="18" spans="3:8" x14ac:dyDescent="0.25">
      <c r="C18" s="64">
        <f>WACC+Step_WACC</f>
      </c>
      <c r="D18" s="65">
        <f>IF(AND(Inputs_OK=1,Build_Flag=1),(SUMPRODUCT(FCF_Used,In_Forecast,1/(1+$C18)^Disc_Period)+EBITDA_N*D$14/(1+$C18)^Forecast_Years+Net_Bridge)/Shares,"n/a")</f>
      </c>
      <c r="E18" s="65">
        <f>IF(AND(Inputs_OK=1,Build_Flag=1),(SUMPRODUCT(FCF_Used,In_Forecast,1/(1+$C18)^Disc_Period)+EBITDA_N*E$14/(1+$C18)^Forecast_Years+Net_Bridge)/Shares,"n/a")</f>
      </c>
      <c r="F18" s="65">
        <f>IF(AND(Inputs_OK=1,Build_Flag=1),(SUMPRODUCT(FCF_Used,In_Forecast,1/(1+$C18)^Disc_Period)+EBITDA_N*F$14/(1+$C18)^Forecast_Years+Net_Bridge)/Shares,"n/a")</f>
      </c>
      <c r="G18" s="65">
        <f>IF(AND(Inputs_OK=1,Build_Flag=1),(SUMPRODUCT(FCF_Used,In_Forecast,1/(1+$C18)^Disc_Period)+EBITDA_N*G$14/(1+$C18)^Forecast_Years+Net_Bridge)/Shares,"n/a")</f>
      </c>
      <c r="H18" s="65">
        <f>IF(AND(Inputs_OK=1,Build_Flag=1),(SUMPRODUCT(FCF_Used,In_Forecast,1/(1+$C18)^Disc_Period)+EBITDA_N*H$14/(1+$C18)^Forecast_Years+Net_Bridge)/Shares,"n/a")</f>
      </c>
    </row>
    <row r="19" spans="3:8" x14ac:dyDescent="0.25">
      <c r="C19" s="64">
        <f>WACC+2*Step_WACC</f>
      </c>
      <c r="D19" s="65">
        <f>IF(AND(Inputs_OK=1,Build_Flag=1),(SUMPRODUCT(FCF_Used,In_Forecast,1/(1+$C19)^Disc_Period)+EBITDA_N*D$14/(1+$C19)^Forecast_Years+Net_Bridge)/Shares,"n/a")</f>
      </c>
      <c r="E19" s="65">
        <f>IF(AND(Inputs_OK=1,Build_Flag=1),(SUMPRODUCT(FCF_Used,In_Forecast,1/(1+$C19)^Disc_Period)+EBITDA_N*E$14/(1+$C19)^Forecast_Years+Net_Bridge)/Shares,"n/a")</f>
      </c>
      <c r="F19" s="65">
        <f>IF(AND(Inputs_OK=1,Build_Flag=1),(SUMPRODUCT(FCF_Used,In_Forecast,1/(1+$C19)^Disc_Period)+EBITDA_N*F$14/(1+$C19)^Forecast_Years+Net_Bridge)/Shares,"n/a")</f>
      </c>
      <c r="G19" s="65">
        <f>IF(AND(Inputs_OK=1,Build_Flag=1),(SUMPRODUCT(FCF_Used,In_Forecast,1/(1+$C19)^Disc_Period)+EBITDA_N*G$14/(1+$C19)^Forecast_Years+Net_Bridge)/Shares,"n/a")</f>
      </c>
      <c r="H19" s="65">
        <f>IF(AND(Inputs_OK=1,Build_Flag=1),(SUMPRODUCT(FCF_Used,In_Forecast,1/(1+$C19)^Disc_Period)+EBITDA_N*H$14/(1+$C19)^Forecast_Years+Net_Bridge)/Shares,"n/a")</f>
      </c>
    </row>
    <row r="22" ht="18" customHeight="1" spans="2:8" x14ac:dyDescent="0.25">
      <c r="B22" s="5" t="s">
        <v>202</v>
      </c>
      <c r="C22" s="6"/>
      <c r="D22" s="6"/>
      <c r="E22" s="6"/>
      <c r="F22" s="6"/>
      <c r="G22" s="6"/>
      <c r="H22" s="6"/>
    </row>
    <row r="23" spans="3:8" x14ac:dyDescent="0.25">
      <c r="C23" s="28" t="s">
        <v>199</v>
      </c>
      <c r="D23" s="62">
        <f>TGR-2*Step_TGR</f>
      </c>
      <c r="E23" s="62">
        <f>TGR-Step_TGR</f>
      </c>
      <c r="F23" s="63">
        <f>TGR</f>
      </c>
      <c r="G23" s="62">
        <f>TGR+Step_TGR</f>
      </c>
      <c r="H23" s="62">
        <f>TGR+2*Step_TGR</f>
      </c>
    </row>
    <row r="24" spans="3:8" x14ac:dyDescent="0.25">
      <c r="C24" s="64">
        <f>WACC-2*Step_WACC</f>
      </c>
      <c r="D24" s="41">
        <f>IF(AND(ISNUMBER(D6),Share_Price&gt;0),D6/Share_Price-1,"n/a")</f>
      </c>
      <c r="E24" s="41">
        <f>IF(AND(ISNUMBER(E6),Share_Price&gt;0),E6/Share_Price-1,"n/a")</f>
      </c>
      <c r="F24" s="41">
        <f>IF(AND(ISNUMBER(F6),Share_Price&gt;0),F6/Share_Price-1,"n/a")</f>
      </c>
      <c r="G24" s="41">
        <f>IF(AND(ISNUMBER(G6),Share_Price&gt;0),G6/Share_Price-1,"n/a")</f>
      </c>
      <c r="H24" s="41">
        <f>IF(AND(ISNUMBER(H6),Share_Price&gt;0),H6/Share_Price-1,"n/a")</f>
      </c>
    </row>
    <row r="25" spans="3:8" x14ac:dyDescent="0.25">
      <c r="C25" s="64">
        <f>WACC-Step_WACC</f>
      </c>
      <c r="D25" s="41">
        <f>IF(AND(ISNUMBER(D7),Share_Price&gt;0),D7/Share_Price-1,"n/a")</f>
      </c>
      <c r="E25" s="41">
        <f>IF(AND(ISNUMBER(E7),Share_Price&gt;0),E7/Share_Price-1,"n/a")</f>
      </c>
      <c r="F25" s="41">
        <f>IF(AND(ISNUMBER(F7),Share_Price&gt;0),F7/Share_Price-1,"n/a")</f>
      </c>
      <c r="G25" s="41">
        <f>IF(AND(ISNUMBER(G7),Share_Price&gt;0),G7/Share_Price-1,"n/a")</f>
      </c>
      <c r="H25" s="41">
        <f>IF(AND(ISNUMBER(H7),Share_Price&gt;0),H7/Share_Price-1,"n/a")</f>
      </c>
    </row>
    <row r="26" spans="3:8" x14ac:dyDescent="0.25">
      <c r="C26" s="66">
        <f>WACC</f>
      </c>
      <c r="D26" s="41">
        <f>IF(AND(ISNUMBER(D8),Share_Price&gt;0),D8/Share_Price-1,"n/a")</f>
      </c>
      <c r="E26" s="41">
        <f>IF(AND(ISNUMBER(E8),Share_Price&gt;0),E8/Share_Price-1,"n/a")</f>
      </c>
      <c r="F26" s="70">
        <f>IF(AND(ISNUMBER(F8),Share_Price&gt;0),F8/Share_Price-1,"n/a")</f>
      </c>
      <c r="G26" s="41">
        <f>IF(AND(ISNUMBER(G8),Share_Price&gt;0),G8/Share_Price-1,"n/a")</f>
      </c>
      <c r="H26" s="41">
        <f>IF(AND(ISNUMBER(H8),Share_Price&gt;0),H8/Share_Price-1,"n/a")</f>
      </c>
    </row>
    <row r="27" spans="3:8" x14ac:dyDescent="0.25">
      <c r="C27" s="64">
        <f>WACC+Step_WACC</f>
      </c>
      <c r="D27" s="41">
        <f>IF(AND(ISNUMBER(D9),Share_Price&gt;0),D9/Share_Price-1,"n/a")</f>
      </c>
      <c r="E27" s="41">
        <f>IF(AND(ISNUMBER(E9),Share_Price&gt;0),E9/Share_Price-1,"n/a")</f>
      </c>
      <c r="F27" s="41">
        <f>IF(AND(ISNUMBER(F9),Share_Price&gt;0),F9/Share_Price-1,"n/a")</f>
      </c>
      <c r="G27" s="41">
        <f>IF(AND(ISNUMBER(G9),Share_Price&gt;0),G9/Share_Price-1,"n/a")</f>
      </c>
      <c r="H27" s="41">
        <f>IF(AND(ISNUMBER(H9),Share_Price&gt;0),H9/Share_Price-1,"n/a")</f>
      </c>
    </row>
    <row r="28" spans="3:8" x14ac:dyDescent="0.25">
      <c r="C28" s="64">
        <f>WACC+2*Step_WACC</f>
      </c>
      <c r="D28" s="41">
        <f>IF(AND(ISNUMBER(D10),Share_Price&gt;0),D10/Share_Price-1,"n/a")</f>
      </c>
      <c r="E28" s="41">
        <f>IF(AND(ISNUMBER(E10),Share_Price&gt;0),E10/Share_Price-1,"n/a")</f>
      </c>
      <c r="F28" s="41">
        <f>IF(AND(ISNUMBER(F10),Share_Price&gt;0),F10/Share_Price-1,"n/a")</f>
      </c>
      <c r="G28" s="41">
        <f>IF(AND(ISNUMBER(G10),Share_Price&gt;0),G10/Share_Price-1,"n/a")</f>
      </c>
      <c r="H28" s="41">
        <f>IF(AND(ISNUMBER(H10),Share_Price&gt;0),H10/Share_Price-1,"n/a")</f>
      </c>
    </row>
    <row r="31" spans="2:2" x14ac:dyDescent="0.25">
      <c r="B31" s="51" t="s">
        <v>203</v>
      </c>
    </row>
  </sheetData>
  <conditionalFormatting sqref="D6:H10">
    <cfRule type="expression" dxfId="7" priority="1">
      <formula>AND(ISNUMBER(D6),D6&gt;=Share_Price)</formula>
    </cfRule>
    <cfRule type="expression" dxfId="8" priority="2">
      <formula>AND(ISNUMBER(D6),D6&lt;Share_Price)</formula>
    </cfRule>
  </conditionalFormatting>
  <conditionalFormatting sqref="D15:H19">
    <cfRule type="expression" dxfId="9" priority="1">
      <formula>AND(ISNUMBER(D15),D15&gt;=Share_Price)</formula>
    </cfRule>
    <cfRule type="expression" dxfId="10" priority="2">
      <formula>AND(ISNUMBER(D15),D15&lt;Share_Price)</formula>
    </cfRule>
  </conditionalFormatting>
  <conditionalFormatting sqref="D24:H28">
    <cfRule type="expression" dxfId="11" priority="1">
      <formula>AND(ISNUMBER(D24),D24&gt;=0)</formula>
    </cfRule>
    <cfRule type="expression" dxfId="12" priority="2">
      <formula>AND(ISNUMBER(D24),D24&lt;0)</formula>
    </cfRule>
  </conditionalFormatting>
  <pageMargins left="0.5" right="0.5" top="0.6" bottom="0.6" header="0.3" footer="0.3"/>
  <pageSetup paperSize="9" orientation="landscape" fitToWidth="1" fitToHeight="1"/>
  <headerFooter>
    <oddFooter>&amp;L&amp;"Arial"&amp;8Swiss DCF Model v1.0.0&amp;C&amp;"Arial"&amp;8&amp;A&amp;R&amp;"Arial"&amp;8Page &amp;P of &amp;N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X152"/>
  <sheetViews>
    <sheetView workbookViewId="0" showGridLines="0" zoomScale="100">
      <pane ySplit="2" topLeftCell="A3" activePane="bottomLeft" state="frozen"/>
      <selection pane="bottomLeft"/>
    </sheetView>
  </sheetViews>
  <sheetFormatPr defaultRowHeight="15" outlineLevelRow="1" outlineLevelCol="1" x14ac:dyDescent="55"/>
  <cols>
    <col min="1" max="1" width="2" style="1" customWidth="1"/>
    <col min="2" max="5" width="12" style="1" customWidth="1"/>
    <col min="6" max="6" width="16" style="1" customWidth="1"/>
    <col min="7" max="7" width="14" style="1" customWidth="1"/>
    <col min="8" max="8" width="30" style="1" hidden="1" outlineLevel="1" collapsed="1" customWidth="1"/>
    <col min="9" max="19" width="9" style="1" hidden="1" outlineLevel="1" collapsed="1" customWidth="1"/>
    <col min="20" max="21" width="11" style="1" hidden="1" outlineLevel="1" collapsed="1" customWidth="1"/>
    <col min="22" max="24" width="12" style="1" hidden="1" outlineLevel="1" collapsed="1" customWidth="1"/>
  </cols>
  <sheetData>
    <row r="1" ht="21" customHeight="1" spans="2:7" x14ac:dyDescent="0.25">
      <c r="B1" s="2" t="s">
        <v>35</v>
      </c>
      <c r="C1" s="3"/>
      <c r="D1" s="3"/>
      <c r="E1" s="3"/>
      <c r="F1" s="3"/>
      <c r="G1" s="3"/>
    </row>
    <row r="2" ht="16" customHeight="1" spans="2:2" x14ac:dyDescent="0.25">
      <c r="B2" s="4">
        <f>IF(Company_Name="","Company not specified",Company_Name)&amp;"   |   CHF m unless stated otherwise   |   Scenario: "&amp;IF(Build_Flag=1,Scenario,"not used (direct FCF)")&amp;"   |   Checks: "&amp;Check_Status</f>
      </c>
    </row>
    <row r="3" ht="6" customHeight="1" x14ac:dyDescent="0.25"/>
    <row r="4" ht="6" customHeight="1" x14ac:dyDescent="0.25"/>
    <row r="5" ht="6" customHeight="1" x14ac:dyDescent="0.25"/>
    <row r="6" ht="18" customHeight="1" spans="2:7" x14ac:dyDescent="0.25">
      <c r="B6" s="5" t="s">
        <v>204</v>
      </c>
      <c r="C6" s="6"/>
      <c r="D6" s="6"/>
      <c r="E6" s="6"/>
      <c r="F6" s="6"/>
      <c r="G6" s="6"/>
    </row>
    <row r="8" spans="2:19" x14ac:dyDescent="0.25">
      <c r="B8" s="9">
        <f>IF(Build_Flag=1,"Implied revenue growth, years 1 to 5","Implied FCF growth, years 1 to 5")</f>
      </c>
      <c r="C8" s="9"/>
      <c r="D8" s="9"/>
      <c r="E8" s="28" t="s">
        <v>88</v>
      </c>
      <c r="F8" s="71">
        <f>IF(AND(Model_Valid=1,OR(Build_Flag=1,Base_FCF&gt;0),Share_Price&gt;=F82,Share_Price&lt;=F83),E80,"n/a")</f>
      </c>
      <c r="I8" s="57">
        <f>'FCF Build'!E4</f>
      </c>
      <c r="J8" s="57">
        <f>'FCF Build'!F4</f>
      </c>
      <c r="K8" s="57">
        <f>'FCF Build'!G4</f>
      </c>
      <c r="L8" s="57">
        <f>'FCF Build'!H4</f>
      </c>
      <c r="M8" s="57">
        <f>'FCF Build'!I4</f>
      </c>
      <c r="N8" s="57">
        <f>'FCF Build'!J4</f>
      </c>
      <c r="O8" s="57">
        <f>'FCF Build'!K4</f>
      </c>
      <c r="P8" s="57">
        <f>'FCF Build'!L4</f>
      </c>
      <c r="Q8" s="57">
        <f>'FCF Build'!M4</f>
      </c>
      <c r="R8" s="57">
        <f>'FCF Build'!N4</f>
      </c>
      <c r="S8" s="57">
        <f>'FCF Build'!O4</f>
      </c>
    </row>
    <row r="9" spans="2:19" x14ac:dyDescent="0.25">
      <c r="B9" s="8" t="s">
        <v>205</v>
      </c>
      <c r="C9" s="8"/>
      <c r="D9" s="8"/>
      <c r="E9" s="28" t="s">
        <v>55</v>
      </c>
      <c r="F9" s="65">
        <f>IF(ISNUMBER(F8),F84,"n/a")</f>
      </c>
      <c r="I9" s="1"/>
      <c r="J9" s="57">
        <f>DCF!F6</f>
      </c>
      <c r="K9" s="57">
        <f>DCF!G6</f>
      </c>
      <c r="L9" s="57">
        <f>DCF!H6</f>
      </c>
      <c r="M9" s="57">
        <f>DCF!I6</f>
      </c>
      <c r="N9" s="57">
        <f>DCF!J6</f>
      </c>
      <c r="O9" s="57">
        <f>DCF!K6</f>
      </c>
      <c r="P9" s="57">
        <f>DCF!L6</f>
      </c>
      <c r="Q9" s="57">
        <f>DCF!M6</f>
      </c>
      <c r="R9" s="57">
        <f>DCF!N6</f>
      </c>
      <c r="S9" s="57">
        <f>DCF!O6</f>
      </c>
    </row>
    <row r="10" spans="2:19" x14ac:dyDescent="0.25">
      <c r="B10" s="8" t="s">
        <v>206</v>
      </c>
      <c r="C10" s="8"/>
      <c r="D10" s="8"/>
      <c r="E10" s="28" t="s">
        <v>55</v>
      </c>
      <c r="F10" s="65">
        <f>IF(ISNUMBER(F8),F9-Share_Price,"n/a")</f>
      </c>
      <c r="I10" s="1"/>
      <c r="J10" s="72">
        <f>DCF!F11</f>
      </c>
      <c r="K10" s="72">
        <f>DCF!G11</f>
      </c>
      <c r="L10" s="72">
        <f>DCF!H11</f>
      </c>
      <c r="M10" s="72">
        <f>DCF!I11</f>
      </c>
      <c r="N10" s="72">
        <f>DCF!J11</f>
      </c>
      <c r="O10" s="72">
        <f>DCF!K11</f>
      </c>
      <c r="P10" s="72">
        <f>DCF!L11</f>
      </c>
      <c r="Q10" s="72">
        <f>DCF!M11</f>
      </c>
      <c r="R10" s="72">
        <f>DCF!N11</f>
      </c>
      <c r="S10" s="72">
        <f>DCF!O11</f>
      </c>
    </row>
    <row r="11" spans="2:19" x14ac:dyDescent="0.25">
      <c r="B11" s="8" t="s">
        <v>207</v>
      </c>
      <c r="C11" s="8"/>
      <c r="D11" s="8"/>
      <c r="F11" s="73">
        <f>IF(Model_Valid=0,"Not available: check inputs",IF(AND(Build_Flag=0,Base_FCF&lt;=0),"No solution: FCF zero or negative",IF(Share_Price&lt;F82,"No solution: price below value at lowest growth",IF(Share_Price&gt;F83,"No solution: price above value at highest growth","Solved"))))</f>
      </c>
      <c r="I11" s="1"/>
      <c r="J11" s="58">
        <f>'FCF Build'!F11*(1-Tax_Rate)+DA_Pct-Capex_Pct</f>
      </c>
      <c r="K11" s="58">
        <f>'FCF Build'!G11*(1-Tax_Rate)+DA_Pct-Capex_Pct</f>
      </c>
      <c r="L11" s="58">
        <f>'FCF Build'!H11*(1-Tax_Rate)+DA_Pct-Capex_Pct</f>
      </c>
      <c r="M11" s="58">
        <f>'FCF Build'!I11*(1-Tax_Rate)+DA_Pct-Capex_Pct</f>
      </c>
      <c r="N11" s="58">
        <f>'FCF Build'!J11*(1-Tax_Rate)+DA_Pct-Capex_Pct</f>
      </c>
      <c r="O11" s="58">
        <f>'FCF Build'!K11*(1-Tax_Rate)+DA_Pct-Capex_Pct</f>
      </c>
      <c r="P11" s="58">
        <f>'FCF Build'!L11*(1-Tax_Rate)+DA_Pct-Capex_Pct</f>
      </c>
      <c r="Q11" s="58">
        <f>'FCF Build'!M11*(1-Tax_Rate)+DA_Pct-Capex_Pct</f>
      </c>
      <c r="R11" s="58">
        <f>'FCF Build'!N11*(1-Tax_Rate)+DA_Pct-Capex_Pct</f>
      </c>
      <c r="S11" s="58">
        <f>'FCF Build'!O11*(1-Tax_Rate)+DA_Pct-Capex_Pct</f>
      </c>
    </row>
    <row r="12" ht="30" customHeight="1" spans="2:19" x14ac:dyDescent="0.25">
      <c r="B12" s="74">
        <f>IF(ISNUMBER(F8),"The current share price of CHF "&amp;FIXED(Share_Price,2)&amp;" implies "&amp;IF(Build_Flag=1,"revenue","free cash flow")&amp;" growth of "&amp;FIXED(F8*100,1)&amp;"% per year in years 1 to 5.","")</f>
      </c>
      <c r="C12" s="74"/>
      <c r="D12" s="74"/>
      <c r="E12" s="74"/>
      <c r="F12" s="74"/>
      <c r="G12" s="74"/>
      <c r="I12" s="1"/>
      <c r="J12" s="58">
        <f>'FCF Build'!F11+DA_Pct</f>
      </c>
      <c r="K12" s="58">
        <f>'FCF Build'!G11+DA_Pct</f>
      </c>
      <c r="L12" s="58">
        <f>'FCF Build'!H11+DA_Pct</f>
      </c>
      <c r="M12" s="58">
        <f>'FCF Build'!I11+DA_Pct</f>
      </c>
      <c r="N12" s="58">
        <f>'FCF Build'!J11+DA_Pct</f>
      </c>
      <c r="O12" s="58">
        <f>'FCF Build'!K11+DA_Pct</f>
      </c>
      <c r="P12" s="58">
        <f>'FCF Build'!L11+DA_Pct</f>
      </c>
      <c r="Q12" s="58">
        <f>'FCF Build'!M11+DA_Pct</f>
      </c>
      <c r="R12" s="58">
        <f>'FCF Build'!N11+DA_Pct</f>
      </c>
      <c r="S12" s="58">
        <f>'FCF Build'!O11+DA_Pct</f>
      </c>
    </row>
    <row r="14" spans="2:6" x14ac:dyDescent="0.25">
      <c r="B14" s="8" t="s">
        <v>208</v>
      </c>
      <c r="C14" s="8"/>
      <c r="D14" s="8"/>
      <c r="E14" s="28" t="s">
        <v>88</v>
      </c>
      <c r="F14" s="54">
        <f>IF(AND(Inputs_OK=1,OR(Exit_Flag=0,Build_Flag=1),C88&lt;D88,Share_Price&lt;=F150,Share_Price&gt;=F151),E148,"n/a")</f>
      </c>
    </row>
    <row r="15" spans="2:6" x14ac:dyDescent="0.25">
      <c r="B15" s="8" t="s">
        <v>206</v>
      </c>
      <c r="C15" s="8"/>
      <c r="D15" s="8"/>
      <c r="E15" s="28" t="s">
        <v>55</v>
      </c>
      <c r="F15" s="65">
        <f>IF(ISNUMBER(F14),F152-Share_Price,"n/a")</f>
      </c>
    </row>
    <row r="16" spans="2:6" x14ac:dyDescent="0.25">
      <c r="B16" s="8" t="s">
        <v>207</v>
      </c>
      <c r="C16" s="8"/>
      <c r="D16" s="8"/>
      <c r="F16" s="73">
        <f>IF(OR(Inputs_OK=0,AND(Exit_Flag=1,Build_Flag=0)),"Not available: check inputs",IF(C88&gt;=D88,"No solution: terminal growth too high",IF(Share_Price&gt;F150,"No solution: price above value at lowest WACC",IF(Share_Price&lt;F151,"No solution: price below value at highest WACC","Solved"))))</f>
      </c>
    </row>
    <row r="18" ht="18" customHeight="1" spans="2:24" x14ac:dyDescent="0.25">
      <c r="B18" s="5" t="s">
        <v>209</v>
      </c>
      <c r="C18" s="6"/>
      <c r="D18" s="6"/>
      <c r="E18" s="6"/>
      <c r="F18" s="6"/>
      <c r="G18" s="6"/>
      <c r="H18" s="6"/>
      <c r="I18" s="6"/>
      <c r="J18" s="6"/>
      <c r="K18" s="6"/>
      <c r="L18" s="6"/>
      <c r="M18" s="6"/>
      <c r="N18" s="6"/>
      <c r="O18" s="6"/>
      <c r="P18" s="6"/>
      <c r="Q18" s="6"/>
      <c r="R18" s="6"/>
      <c r="S18" s="6"/>
      <c r="T18" s="6"/>
      <c r="U18" s="6"/>
      <c r="V18" s="6"/>
      <c r="W18" s="6"/>
      <c r="X18" s="6"/>
    </row>
    <row r="19" ht="40" customHeight="1" hidden="1" spans="2:24" x14ac:dyDescent="0.25" outlineLevel="1" collapsed="1">
      <c r="B19" s="75" t="s">
        <v>210</v>
      </c>
      <c r="C19" s="76" t="s">
        <v>211</v>
      </c>
      <c r="D19" s="76" t="s">
        <v>212</v>
      </c>
      <c r="E19" s="76" t="s">
        <v>213</v>
      </c>
      <c r="F19" s="76" t="s">
        <v>214</v>
      </c>
      <c r="G19" s="76" t="s">
        <v>215</v>
      </c>
      <c r="I19" s="76" t="s">
        <v>216</v>
      </c>
      <c r="J19" s="76" t="s">
        <v>217</v>
      </c>
      <c r="K19" s="76" t="s">
        <v>218</v>
      </c>
      <c r="L19" s="76" t="s">
        <v>219</v>
      </c>
      <c r="M19" s="76" t="s">
        <v>220</v>
      </c>
      <c r="N19" s="76" t="s">
        <v>221</v>
      </c>
      <c r="O19" s="76" t="s">
        <v>222</v>
      </c>
      <c r="P19" s="76" t="s">
        <v>223</v>
      </c>
      <c r="Q19" s="76" t="s">
        <v>224</v>
      </c>
      <c r="R19" s="76" t="s">
        <v>225</v>
      </c>
      <c r="S19" s="76" t="s">
        <v>226</v>
      </c>
      <c r="T19" s="76" t="s">
        <v>227</v>
      </c>
      <c r="U19" s="76" t="s">
        <v>228</v>
      </c>
      <c r="V19" s="76" t="s">
        <v>229</v>
      </c>
      <c r="W19" s="76" t="s">
        <v>230</v>
      </c>
      <c r="X19" s="76" t="s">
        <v>231</v>
      </c>
    </row>
    <row r="20" hidden="1" spans="2:24" x14ac:dyDescent="0.25" outlineLevel="1" collapsed="1">
      <c r="B20" s="25">
        <f>1</f>
      </c>
      <c r="C20" s="40">
        <f>Growth_Lower</f>
      </c>
      <c r="D20" s="40">
        <f>Growth_Upper</f>
      </c>
      <c r="E20" s="41">
        <f>(C20+D20)/2</f>
      </c>
      <c r="F20" s="65">
        <f>IF(Inputs_OK=1,(W20+X20+Net_Bridge)/Shares,0)</f>
      </c>
      <c r="G20" s="65">
        <f>F20-Share_Price</f>
      </c>
      <c r="I20" s="58">
        <f>1</f>
      </c>
      <c r="J20" s="58">
        <f>I20*(1+IF(J$8&lt;=5,$E20,$E20+(TGR-$E20)*(J$8-5)/5))</f>
      </c>
      <c r="K20" s="58">
        <f>J20*(1+IF(K$8&lt;=5,$E20,$E20+(TGR-$E20)*(K$8-5)/5))</f>
      </c>
      <c r="L20" s="58">
        <f>K20*(1+IF(L$8&lt;=5,$E20,$E20+(TGR-$E20)*(L$8-5)/5))</f>
      </c>
      <c r="M20" s="58">
        <f>L20*(1+IF(M$8&lt;=5,$E20,$E20+(TGR-$E20)*(M$8-5)/5))</f>
      </c>
      <c r="N20" s="58">
        <f>M20*(1+IF(N$8&lt;=5,$E20,$E20+(TGR-$E20)*(N$8-5)/5))</f>
      </c>
      <c r="O20" s="58">
        <f>N20*(1+IF(O$8&lt;=5,$E20,$E20+(TGR-$E20)*(O$8-5)/5))</f>
      </c>
      <c r="P20" s="58">
        <f>O20*(1+IF(P$8&lt;=5,$E20,$E20+(TGR-$E20)*(P$8-5)/5))</f>
      </c>
      <c r="Q20" s="58">
        <f>P20*(1+IF(Q$8&lt;=5,$E20,$E20+(TGR-$E20)*(Q$8-5)/5))</f>
      </c>
      <c r="R20" s="58">
        <f>Q20*(1+IF(R$8&lt;=5,$E20,$E20+(TGR-$E20)*(R$8-5)/5))</f>
      </c>
      <c r="S20" s="58">
        <f>R20*(1+IF(S$8&lt;=5,$E20,$E20+(TGR-$E20)*(S$8-5)/5))</f>
      </c>
      <c r="T20" s="58">
        <f>INDEX($J20:$S20,1,Forecast_Years)</f>
      </c>
      <c r="U20" s="58">
        <f>INDEX($I20:$S20,1,Forecast_Years)</f>
      </c>
      <c r="V20" s="43">
        <f>Build_Flag*Base_Revenue*(T20*INDEX($J$11:$S$11,1,Forecast_Years)-NWC_Pct*(T20-U20))+(1-Build_Flag)*Base_FCF*T20</f>
      </c>
      <c r="W20" s="43">
        <f>SUMPRODUCT($J$9:$S$9,$J$10:$S$10,Build_Flag*Base_Revenue*($J20:$S20*$J$11:$S$11-NWC_Pct*($J20:$S20-$I20:$R20))+(1-Build_Flag)*Base_FCF*$J20:$S20)</f>
      </c>
      <c r="X20" s="43">
        <f>IF(Exit_Flag=1,Base_Revenue*T20*INDEX($J$12:$S$12,1,Forecast_Years)*Exit_Multiple/(1+WACC)^Forecast_Years,IF(TGR&lt;WACC,V20*(1+TGR)/(WACC-TGR)/(1+WACC)^(Forecast_Years-Mid_Year),0))</f>
      </c>
    </row>
    <row r="21" hidden="1" spans="2:24" x14ac:dyDescent="0.25" outlineLevel="1" collapsed="1">
      <c r="B21" s="25">
        <f>B20+1</f>
      </c>
      <c r="C21" s="41">
        <f>IF(F20&lt;Share_Price,E20,C20)</f>
      </c>
      <c r="D21" s="41">
        <f>IF(F20&lt;Share_Price,D20,E20)</f>
      </c>
      <c r="E21" s="41">
        <f>(C21+D21)/2</f>
      </c>
      <c r="F21" s="65">
        <f>IF(Inputs_OK=1,(W21+X21+Net_Bridge)/Shares,0)</f>
      </c>
      <c r="G21" s="65">
        <f>F21-Share_Price</f>
      </c>
      <c r="I21" s="58">
        <f>1</f>
      </c>
      <c r="J21" s="58">
        <f>I21*(1+IF(J$8&lt;=5,$E21,$E21+(TGR-$E21)*(J$8-5)/5))</f>
      </c>
      <c r="K21" s="58">
        <f>J21*(1+IF(K$8&lt;=5,$E21,$E21+(TGR-$E21)*(K$8-5)/5))</f>
      </c>
      <c r="L21" s="58">
        <f>K21*(1+IF(L$8&lt;=5,$E21,$E21+(TGR-$E21)*(L$8-5)/5))</f>
      </c>
      <c r="M21" s="58">
        <f>L21*(1+IF(M$8&lt;=5,$E21,$E21+(TGR-$E21)*(M$8-5)/5))</f>
      </c>
      <c r="N21" s="58">
        <f>M21*(1+IF(N$8&lt;=5,$E21,$E21+(TGR-$E21)*(N$8-5)/5))</f>
      </c>
      <c r="O21" s="58">
        <f>N21*(1+IF(O$8&lt;=5,$E21,$E21+(TGR-$E21)*(O$8-5)/5))</f>
      </c>
      <c r="P21" s="58">
        <f>O21*(1+IF(P$8&lt;=5,$E21,$E21+(TGR-$E21)*(P$8-5)/5))</f>
      </c>
      <c r="Q21" s="58">
        <f>P21*(1+IF(Q$8&lt;=5,$E21,$E21+(TGR-$E21)*(Q$8-5)/5))</f>
      </c>
      <c r="R21" s="58">
        <f>Q21*(1+IF(R$8&lt;=5,$E21,$E21+(TGR-$E21)*(R$8-5)/5))</f>
      </c>
      <c r="S21" s="58">
        <f>R21*(1+IF(S$8&lt;=5,$E21,$E21+(TGR-$E21)*(S$8-5)/5))</f>
      </c>
      <c r="T21" s="58">
        <f>INDEX($J21:$S21,1,Forecast_Years)</f>
      </c>
      <c r="U21" s="58">
        <f>INDEX($I21:$S21,1,Forecast_Years)</f>
      </c>
      <c r="V21" s="43">
        <f>Build_Flag*Base_Revenue*(T21*INDEX($J$11:$S$11,1,Forecast_Years)-NWC_Pct*(T21-U21))+(1-Build_Flag)*Base_FCF*T21</f>
      </c>
      <c r="W21" s="43">
        <f>SUMPRODUCT($J$9:$S$9,$J$10:$S$10,Build_Flag*Base_Revenue*($J21:$S21*$J$11:$S$11-NWC_Pct*($J21:$S21-$I21:$R21))+(1-Build_Flag)*Base_FCF*$J21:$S21)</f>
      </c>
      <c r="X21" s="43">
        <f>IF(Exit_Flag=1,Base_Revenue*T21*INDEX($J$12:$S$12,1,Forecast_Years)*Exit_Multiple/(1+WACC)^Forecast_Years,IF(TGR&lt;WACC,V21*(1+TGR)/(WACC-TGR)/(1+WACC)^(Forecast_Years-Mid_Year),0))</f>
      </c>
    </row>
    <row r="22" hidden="1" spans="2:24" x14ac:dyDescent="0.25" outlineLevel="1" collapsed="1">
      <c r="B22" s="25">
        <f>B21+1</f>
      </c>
      <c r="C22" s="41">
        <f>IF(F21&lt;Share_Price,E21,C21)</f>
      </c>
      <c r="D22" s="41">
        <f>IF(F21&lt;Share_Price,D21,E21)</f>
      </c>
      <c r="E22" s="41">
        <f>(C22+D22)/2</f>
      </c>
      <c r="F22" s="65">
        <f>IF(Inputs_OK=1,(W22+X22+Net_Bridge)/Shares,0)</f>
      </c>
      <c r="G22" s="65">
        <f>F22-Share_Price</f>
      </c>
      <c r="I22" s="58">
        <f>1</f>
      </c>
      <c r="J22" s="58">
        <f>I22*(1+IF(J$8&lt;=5,$E22,$E22+(TGR-$E22)*(J$8-5)/5))</f>
      </c>
      <c r="K22" s="58">
        <f>J22*(1+IF(K$8&lt;=5,$E22,$E22+(TGR-$E22)*(K$8-5)/5))</f>
      </c>
      <c r="L22" s="58">
        <f>K22*(1+IF(L$8&lt;=5,$E22,$E22+(TGR-$E22)*(L$8-5)/5))</f>
      </c>
      <c r="M22" s="58">
        <f>L22*(1+IF(M$8&lt;=5,$E22,$E22+(TGR-$E22)*(M$8-5)/5))</f>
      </c>
      <c r="N22" s="58">
        <f>M22*(1+IF(N$8&lt;=5,$E22,$E22+(TGR-$E22)*(N$8-5)/5))</f>
      </c>
      <c r="O22" s="58">
        <f>N22*(1+IF(O$8&lt;=5,$E22,$E22+(TGR-$E22)*(O$8-5)/5))</f>
      </c>
      <c r="P22" s="58">
        <f>O22*(1+IF(P$8&lt;=5,$E22,$E22+(TGR-$E22)*(P$8-5)/5))</f>
      </c>
      <c r="Q22" s="58">
        <f>P22*(1+IF(Q$8&lt;=5,$E22,$E22+(TGR-$E22)*(Q$8-5)/5))</f>
      </c>
      <c r="R22" s="58">
        <f>Q22*(1+IF(R$8&lt;=5,$E22,$E22+(TGR-$E22)*(R$8-5)/5))</f>
      </c>
      <c r="S22" s="58">
        <f>R22*(1+IF(S$8&lt;=5,$E22,$E22+(TGR-$E22)*(S$8-5)/5))</f>
      </c>
      <c r="T22" s="58">
        <f>INDEX($J22:$S22,1,Forecast_Years)</f>
      </c>
      <c r="U22" s="58">
        <f>INDEX($I22:$S22,1,Forecast_Years)</f>
      </c>
      <c r="V22" s="43">
        <f>Build_Flag*Base_Revenue*(T22*INDEX($J$11:$S$11,1,Forecast_Years)-NWC_Pct*(T22-U22))+(1-Build_Flag)*Base_FCF*T22</f>
      </c>
      <c r="W22" s="43">
        <f>SUMPRODUCT($J$9:$S$9,$J$10:$S$10,Build_Flag*Base_Revenue*($J22:$S22*$J$11:$S$11-NWC_Pct*($J22:$S22-$I22:$R22))+(1-Build_Flag)*Base_FCF*$J22:$S22)</f>
      </c>
      <c r="X22" s="43">
        <f>IF(Exit_Flag=1,Base_Revenue*T22*INDEX($J$12:$S$12,1,Forecast_Years)*Exit_Multiple/(1+WACC)^Forecast_Years,IF(TGR&lt;WACC,V22*(1+TGR)/(WACC-TGR)/(1+WACC)^(Forecast_Years-Mid_Year),0))</f>
      </c>
    </row>
    <row r="23" hidden="1" spans="2:24" x14ac:dyDescent="0.25" outlineLevel="1" collapsed="1">
      <c r="B23" s="25">
        <f>B22+1</f>
      </c>
      <c r="C23" s="41">
        <f>IF(F22&lt;Share_Price,E22,C22)</f>
      </c>
      <c r="D23" s="41">
        <f>IF(F22&lt;Share_Price,D22,E22)</f>
      </c>
      <c r="E23" s="41">
        <f>(C23+D23)/2</f>
      </c>
      <c r="F23" s="65">
        <f>IF(Inputs_OK=1,(W23+X23+Net_Bridge)/Shares,0)</f>
      </c>
      <c r="G23" s="65">
        <f>F23-Share_Price</f>
      </c>
      <c r="I23" s="58">
        <f>1</f>
      </c>
      <c r="J23" s="58">
        <f>I23*(1+IF(J$8&lt;=5,$E23,$E23+(TGR-$E23)*(J$8-5)/5))</f>
      </c>
      <c r="K23" s="58">
        <f>J23*(1+IF(K$8&lt;=5,$E23,$E23+(TGR-$E23)*(K$8-5)/5))</f>
      </c>
      <c r="L23" s="58">
        <f>K23*(1+IF(L$8&lt;=5,$E23,$E23+(TGR-$E23)*(L$8-5)/5))</f>
      </c>
      <c r="M23" s="58">
        <f>L23*(1+IF(M$8&lt;=5,$E23,$E23+(TGR-$E23)*(M$8-5)/5))</f>
      </c>
      <c r="N23" s="58">
        <f>M23*(1+IF(N$8&lt;=5,$E23,$E23+(TGR-$E23)*(N$8-5)/5))</f>
      </c>
      <c r="O23" s="58">
        <f>N23*(1+IF(O$8&lt;=5,$E23,$E23+(TGR-$E23)*(O$8-5)/5))</f>
      </c>
      <c r="P23" s="58">
        <f>O23*(1+IF(P$8&lt;=5,$E23,$E23+(TGR-$E23)*(P$8-5)/5))</f>
      </c>
      <c r="Q23" s="58">
        <f>P23*(1+IF(Q$8&lt;=5,$E23,$E23+(TGR-$E23)*(Q$8-5)/5))</f>
      </c>
      <c r="R23" s="58">
        <f>Q23*(1+IF(R$8&lt;=5,$E23,$E23+(TGR-$E23)*(R$8-5)/5))</f>
      </c>
      <c r="S23" s="58">
        <f>R23*(1+IF(S$8&lt;=5,$E23,$E23+(TGR-$E23)*(S$8-5)/5))</f>
      </c>
      <c r="T23" s="58">
        <f>INDEX($J23:$S23,1,Forecast_Years)</f>
      </c>
      <c r="U23" s="58">
        <f>INDEX($I23:$S23,1,Forecast_Years)</f>
      </c>
      <c r="V23" s="43">
        <f>Build_Flag*Base_Revenue*(T23*INDEX($J$11:$S$11,1,Forecast_Years)-NWC_Pct*(T23-U23))+(1-Build_Flag)*Base_FCF*T23</f>
      </c>
      <c r="W23" s="43">
        <f>SUMPRODUCT($J$9:$S$9,$J$10:$S$10,Build_Flag*Base_Revenue*($J23:$S23*$J$11:$S$11-NWC_Pct*($J23:$S23-$I23:$R23))+(1-Build_Flag)*Base_FCF*$J23:$S23)</f>
      </c>
      <c r="X23" s="43">
        <f>IF(Exit_Flag=1,Base_Revenue*T23*INDEX($J$12:$S$12,1,Forecast_Years)*Exit_Multiple/(1+WACC)^Forecast_Years,IF(TGR&lt;WACC,V23*(1+TGR)/(WACC-TGR)/(1+WACC)^(Forecast_Years-Mid_Year),0))</f>
      </c>
    </row>
    <row r="24" hidden="1" spans="2:24" x14ac:dyDescent="0.25" outlineLevel="1" collapsed="1">
      <c r="B24" s="25">
        <f>B23+1</f>
      </c>
      <c r="C24" s="41">
        <f>IF(F23&lt;Share_Price,E23,C23)</f>
      </c>
      <c r="D24" s="41">
        <f>IF(F23&lt;Share_Price,D23,E23)</f>
      </c>
      <c r="E24" s="41">
        <f>(C24+D24)/2</f>
      </c>
      <c r="F24" s="65">
        <f>IF(Inputs_OK=1,(W24+X24+Net_Bridge)/Shares,0)</f>
      </c>
      <c r="G24" s="65">
        <f>F24-Share_Price</f>
      </c>
      <c r="I24" s="58">
        <f>1</f>
      </c>
      <c r="J24" s="58">
        <f>I24*(1+IF(J$8&lt;=5,$E24,$E24+(TGR-$E24)*(J$8-5)/5))</f>
      </c>
      <c r="K24" s="58">
        <f>J24*(1+IF(K$8&lt;=5,$E24,$E24+(TGR-$E24)*(K$8-5)/5))</f>
      </c>
      <c r="L24" s="58">
        <f>K24*(1+IF(L$8&lt;=5,$E24,$E24+(TGR-$E24)*(L$8-5)/5))</f>
      </c>
      <c r="M24" s="58">
        <f>L24*(1+IF(M$8&lt;=5,$E24,$E24+(TGR-$E24)*(M$8-5)/5))</f>
      </c>
      <c r="N24" s="58">
        <f>M24*(1+IF(N$8&lt;=5,$E24,$E24+(TGR-$E24)*(N$8-5)/5))</f>
      </c>
      <c r="O24" s="58">
        <f>N24*(1+IF(O$8&lt;=5,$E24,$E24+(TGR-$E24)*(O$8-5)/5))</f>
      </c>
      <c r="P24" s="58">
        <f>O24*(1+IF(P$8&lt;=5,$E24,$E24+(TGR-$E24)*(P$8-5)/5))</f>
      </c>
      <c r="Q24" s="58">
        <f>P24*(1+IF(Q$8&lt;=5,$E24,$E24+(TGR-$E24)*(Q$8-5)/5))</f>
      </c>
      <c r="R24" s="58">
        <f>Q24*(1+IF(R$8&lt;=5,$E24,$E24+(TGR-$E24)*(R$8-5)/5))</f>
      </c>
      <c r="S24" s="58">
        <f>R24*(1+IF(S$8&lt;=5,$E24,$E24+(TGR-$E24)*(S$8-5)/5))</f>
      </c>
      <c r="T24" s="58">
        <f>INDEX($J24:$S24,1,Forecast_Years)</f>
      </c>
      <c r="U24" s="58">
        <f>INDEX($I24:$S24,1,Forecast_Years)</f>
      </c>
      <c r="V24" s="43">
        <f>Build_Flag*Base_Revenue*(T24*INDEX($J$11:$S$11,1,Forecast_Years)-NWC_Pct*(T24-U24))+(1-Build_Flag)*Base_FCF*T24</f>
      </c>
      <c r="W24" s="43">
        <f>SUMPRODUCT($J$9:$S$9,$J$10:$S$10,Build_Flag*Base_Revenue*($J24:$S24*$J$11:$S$11-NWC_Pct*($J24:$S24-$I24:$R24))+(1-Build_Flag)*Base_FCF*$J24:$S24)</f>
      </c>
      <c r="X24" s="43">
        <f>IF(Exit_Flag=1,Base_Revenue*T24*INDEX($J$12:$S$12,1,Forecast_Years)*Exit_Multiple/(1+WACC)^Forecast_Years,IF(TGR&lt;WACC,V24*(1+TGR)/(WACC-TGR)/(1+WACC)^(Forecast_Years-Mid_Year),0))</f>
      </c>
    </row>
    <row r="25" hidden="1" spans="2:24" x14ac:dyDescent="0.25" outlineLevel="1" collapsed="1">
      <c r="B25" s="25">
        <f>B24+1</f>
      </c>
      <c r="C25" s="41">
        <f>IF(F24&lt;Share_Price,E24,C24)</f>
      </c>
      <c r="D25" s="41">
        <f>IF(F24&lt;Share_Price,D24,E24)</f>
      </c>
      <c r="E25" s="41">
        <f>(C25+D25)/2</f>
      </c>
      <c r="F25" s="65">
        <f>IF(Inputs_OK=1,(W25+X25+Net_Bridge)/Shares,0)</f>
      </c>
      <c r="G25" s="65">
        <f>F25-Share_Price</f>
      </c>
      <c r="I25" s="58">
        <f>1</f>
      </c>
      <c r="J25" s="58">
        <f>I25*(1+IF(J$8&lt;=5,$E25,$E25+(TGR-$E25)*(J$8-5)/5))</f>
      </c>
      <c r="K25" s="58">
        <f>J25*(1+IF(K$8&lt;=5,$E25,$E25+(TGR-$E25)*(K$8-5)/5))</f>
      </c>
      <c r="L25" s="58">
        <f>K25*(1+IF(L$8&lt;=5,$E25,$E25+(TGR-$E25)*(L$8-5)/5))</f>
      </c>
      <c r="M25" s="58">
        <f>L25*(1+IF(M$8&lt;=5,$E25,$E25+(TGR-$E25)*(M$8-5)/5))</f>
      </c>
      <c r="N25" s="58">
        <f>M25*(1+IF(N$8&lt;=5,$E25,$E25+(TGR-$E25)*(N$8-5)/5))</f>
      </c>
      <c r="O25" s="58">
        <f>N25*(1+IF(O$8&lt;=5,$E25,$E25+(TGR-$E25)*(O$8-5)/5))</f>
      </c>
      <c r="P25" s="58">
        <f>O25*(1+IF(P$8&lt;=5,$E25,$E25+(TGR-$E25)*(P$8-5)/5))</f>
      </c>
      <c r="Q25" s="58">
        <f>P25*(1+IF(Q$8&lt;=5,$E25,$E25+(TGR-$E25)*(Q$8-5)/5))</f>
      </c>
      <c r="R25" s="58">
        <f>Q25*(1+IF(R$8&lt;=5,$E25,$E25+(TGR-$E25)*(R$8-5)/5))</f>
      </c>
      <c r="S25" s="58">
        <f>R25*(1+IF(S$8&lt;=5,$E25,$E25+(TGR-$E25)*(S$8-5)/5))</f>
      </c>
      <c r="T25" s="58">
        <f>INDEX($J25:$S25,1,Forecast_Years)</f>
      </c>
      <c r="U25" s="58">
        <f>INDEX($I25:$S25,1,Forecast_Years)</f>
      </c>
      <c r="V25" s="43">
        <f>Build_Flag*Base_Revenue*(T25*INDEX($J$11:$S$11,1,Forecast_Years)-NWC_Pct*(T25-U25))+(1-Build_Flag)*Base_FCF*T25</f>
      </c>
      <c r="W25" s="43">
        <f>SUMPRODUCT($J$9:$S$9,$J$10:$S$10,Build_Flag*Base_Revenue*($J25:$S25*$J$11:$S$11-NWC_Pct*($J25:$S25-$I25:$R25))+(1-Build_Flag)*Base_FCF*$J25:$S25)</f>
      </c>
      <c r="X25" s="43">
        <f>IF(Exit_Flag=1,Base_Revenue*T25*INDEX($J$12:$S$12,1,Forecast_Years)*Exit_Multiple/(1+WACC)^Forecast_Years,IF(TGR&lt;WACC,V25*(1+TGR)/(WACC-TGR)/(1+WACC)^(Forecast_Years-Mid_Year),0))</f>
      </c>
    </row>
    <row r="26" hidden="1" spans="2:24" x14ac:dyDescent="0.25" outlineLevel="1" collapsed="1">
      <c r="B26" s="25">
        <f>B25+1</f>
      </c>
      <c r="C26" s="41">
        <f>IF(F25&lt;Share_Price,E25,C25)</f>
      </c>
      <c r="D26" s="41">
        <f>IF(F25&lt;Share_Price,D25,E25)</f>
      </c>
      <c r="E26" s="41">
        <f>(C26+D26)/2</f>
      </c>
      <c r="F26" s="65">
        <f>IF(Inputs_OK=1,(W26+X26+Net_Bridge)/Shares,0)</f>
      </c>
      <c r="G26" s="65">
        <f>F26-Share_Price</f>
      </c>
      <c r="I26" s="58">
        <f>1</f>
      </c>
      <c r="J26" s="58">
        <f>I26*(1+IF(J$8&lt;=5,$E26,$E26+(TGR-$E26)*(J$8-5)/5))</f>
      </c>
      <c r="K26" s="58">
        <f>J26*(1+IF(K$8&lt;=5,$E26,$E26+(TGR-$E26)*(K$8-5)/5))</f>
      </c>
      <c r="L26" s="58">
        <f>K26*(1+IF(L$8&lt;=5,$E26,$E26+(TGR-$E26)*(L$8-5)/5))</f>
      </c>
      <c r="M26" s="58">
        <f>L26*(1+IF(M$8&lt;=5,$E26,$E26+(TGR-$E26)*(M$8-5)/5))</f>
      </c>
      <c r="N26" s="58">
        <f>M26*(1+IF(N$8&lt;=5,$E26,$E26+(TGR-$E26)*(N$8-5)/5))</f>
      </c>
      <c r="O26" s="58">
        <f>N26*(1+IF(O$8&lt;=5,$E26,$E26+(TGR-$E26)*(O$8-5)/5))</f>
      </c>
      <c r="P26" s="58">
        <f>O26*(1+IF(P$8&lt;=5,$E26,$E26+(TGR-$E26)*(P$8-5)/5))</f>
      </c>
      <c r="Q26" s="58">
        <f>P26*(1+IF(Q$8&lt;=5,$E26,$E26+(TGR-$E26)*(Q$8-5)/5))</f>
      </c>
      <c r="R26" s="58">
        <f>Q26*(1+IF(R$8&lt;=5,$E26,$E26+(TGR-$E26)*(R$8-5)/5))</f>
      </c>
      <c r="S26" s="58">
        <f>R26*(1+IF(S$8&lt;=5,$E26,$E26+(TGR-$E26)*(S$8-5)/5))</f>
      </c>
      <c r="T26" s="58">
        <f>INDEX($J26:$S26,1,Forecast_Years)</f>
      </c>
      <c r="U26" s="58">
        <f>INDEX($I26:$S26,1,Forecast_Years)</f>
      </c>
      <c r="V26" s="43">
        <f>Build_Flag*Base_Revenue*(T26*INDEX($J$11:$S$11,1,Forecast_Years)-NWC_Pct*(T26-U26))+(1-Build_Flag)*Base_FCF*T26</f>
      </c>
      <c r="W26" s="43">
        <f>SUMPRODUCT($J$9:$S$9,$J$10:$S$10,Build_Flag*Base_Revenue*($J26:$S26*$J$11:$S$11-NWC_Pct*($J26:$S26-$I26:$R26))+(1-Build_Flag)*Base_FCF*$J26:$S26)</f>
      </c>
      <c r="X26" s="43">
        <f>IF(Exit_Flag=1,Base_Revenue*T26*INDEX($J$12:$S$12,1,Forecast_Years)*Exit_Multiple/(1+WACC)^Forecast_Years,IF(TGR&lt;WACC,V26*(1+TGR)/(WACC-TGR)/(1+WACC)^(Forecast_Years-Mid_Year),0))</f>
      </c>
    </row>
    <row r="27" hidden="1" spans="2:24" x14ac:dyDescent="0.25" outlineLevel="1" collapsed="1">
      <c r="B27" s="25">
        <f>B26+1</f>
      </c>
      <c r="C27" s="41">
        <f>IF(F26&lt;Share_Price,E26,C26)</f>
      </c>
      <c r="D27" s="41">
        <f>IF(F26&lt;Share_Price,D26,E26)</f>
      </c>
      <c r="E27" s="41">
        <f>(C27+D27)/2</f>
      </c>
      <c r="F27" s="65">
        <f>IF(Inputs_OK=1,(W27+X27+Net_Bridge)/Shares,0)</f>
      </c>
      <c r="G27" s="65">
        <f>F27-Share_Price</f>
      </c>
      <c r="I27" s="58">
        <f>1</f>
      </c>
      <c r="J27" s="58">
        <f>I27*(1+IF(J$8&lt;=5,$E27,$E27+(TGR-$E27)*(J$8-5)/5))</f>
      </c>
      <c r="K27" s="58">
        <f>J27*(1+IF(K$8&lt;=5,$E27,$E27+(TGR-$E27)*(K$8-5)/5))</f>
      </c>
      <c r="L27" s="58">
        <f>K27*(1+IF(L$8&lt;=5,$E27,$E27+(TGR-$E27)*(L$8-5)/5))</f>
      </c>
      <c r="M27" s="58">
        <f>L27*(1+IF(M$8&lt;=5,$E27,$E27+(TGR-$E27)*(M$8-5)/5))</f>
      </c>
      <c r="N27" s="58">
        <f>M27*(1+IF(N$8&lt;=5,$E27,$E27+(TGR-$E27)*(N$8-5)/5))</f>
      </c>
      <c r="O27" s="58">
        <f>N27*(1+IF(O$8&lt;=5,$E27,$E27+(TGR-$E27)*(O$8-5)/5))</f>
      </c>
      <c r="P27" s="58">
        <f>O27*(1+IF(P$8&lt;=5,$E27,$E27+(TGR-$E27)*(P$8-5)/5))</f>
      </c>
      <c r="Q27" s="58">
        <f>P27*(1+IF(Q$8&lt;=5,$E27,$E27+(TGR-$E27)*(Q$8-5)/5))</f>
      </c>
      <c r="R27" s="58">
        <f>Q27*(1+IF(R$8&lt;=5,$E27,$E27+(TGR-$E27)*(R$8-5)/5))</f>
      </c>
      <c r="S27" s="58">
        <f>R27*(1+IF(S$8&lt;=5,$E27,$E27+(TGR-$E27)*(S$8-5)/5))</f>
      </c>
      <c r="T27" s="58">
        <f>INDEX($J27:$S27,1,Forecast_Years)</f>
      </c>
      <c r="U27" s="58">
        <f>INDEX($I27:$S27,1,Forecast_Years)</f>
      </c>
      <c r="V27" s="43">
        <f>Build_Flag*Base_Revenue*(T27*INDEX($J$11:$S$11,1,Forecast_Years)-NWC_Pct*(T27-U27))+(1-Build_Flag)*Base_FCF*T27</f>
      </c>
      <c r="W27" s="43">
        <f>SUMPRODUCT($J$9:$S$9,$J$10:$S$10,Build_Flag*Base_Revenue*($J27:$S27*$J$11:$S$11-NWC_Pct*($J27:$S27-$I27:$R27))+(1-Build_Flag)*Base_FCF*$J27:$S27)</f>
      </c>
      <c r="X27" s="43">
        <f>IF(Exit_Flag=1,Base_Revenue*T27*INDEX($J$12:$S$12,1,Forecast_Years)*Exit_Multiple/(1+WACC)^Forecast_Years,IF(TGR&lt;WACC,V27*(1+TGR)/(WACC-TGR)/(1+WACC)^(Forecast_Years-Mid_Year),0))</f>
      </c>
    </row>
    <row r="28" hidden="1" spans="2:24" x14ac:dyDescent="0.25" outlineLevel="1" collapsed="1">
      <c r="B28" s="25">
        <f>B27+1</f>
      </c>
      <c r="C28" s="41">
        <f>IF(F27&lt;Share_Price,E27,C27)</f>
      </c>
      <c r="D28" s="41">
        <f>IF(F27&lt;Share_Price,D27,E27)</f>
      </c>
      <c r="E28" s="41">
        <f>(C28+D28)/2</f>
      </c>
      <c r="F28" s="65">
        <f>IF(Inputs_OK=1,(W28+X28+Net_Bridge)/Shares,0)</f>
      </c>
      <c r="G28" s="65">
        <f>F28-Share_Price</f>
      </c>
      <c r="I28" s="58">
        <f>1</f>
      </c>
      <c r="J28" s="58">
        <f>I28*(1+IF(J$8&lt;=5,$E28,$E28+(TGR-$E28)*(J$8-5)/5))</f>
      </c>
      <c r="K28" s="58">
        <f>J28*(1+IF(K$8&lt;=5,$E28,$E28+(TGR-$E28)*(K$8-5)/5))</f>
      </c>
      <c r="L28" s="58">
        <f>K28*(1+IF(L$8&lt;=5,$E28,$E28+(TGR-$E28)*(L$8-5)/5))</f>
      </c>
      <c r="M28" s="58">
        <f>L28*(1+IF(M$8&lt;=5,$E28,$E28+(TGR-$E28)*(M$8-5)/5))</f>
      </c>
      <c r="N28" s="58">
        <f>M28*(1+IF(N$8&lt;=5,$E28,$E28+(TGR-$E28)*(N$8-5)/5))</f>
      </c>
      <c r="O28" s="58">
        <f>N28*(1+IF(O$8&lt;=5,$E28,$E28+(TGR-$E28)*(O$8-5)/5))</f>
      </c>
      <c r="P28" s="58">
        <f>O28*(1+IF(P$8&lt;=5,$E28,$E28+(TGR-$E28)*(P$8-5)/5))</f>
      </c>
      <c r="Q28" s="58">
        <f>P28*(1+IF(Q$8&lt;=5,$E28,$E28+(TGR-$E28)*(Q$8-5)/5))</f>
      </c>
      <c r="R28" s="58">
        <f>Q28*(1+IF(R$8&lt;=5,$E28,$E28+(TGR-$E28)*(R$8-5)/5))</f>
      </c>
      <c r="S28" s="58">
        <f>R28*(1+IF(S$8&lt;=5,$E28,$E28+(TGR-$E28)*(S$8-5)/5))</f>
      </c>
      <c r="T28" s="58">
        <f>INDEX($J28:$S28,1,Forecast_Years)</f>
      </c>
      <c r="U28" s="58">
        <f>INDEX($I28:$S28,1,Forecast_Years)</f>
      </c>
      <c r="V28" s="43">
        <f>Build_Flag*Base_Revenue*(T28*INDEX($J$11:$S$11,1,Forecast_Years)-NWC_Pct*(T28-U28))+(1-Build_Flag)*Base_FCF*T28</f>
      </c>
      <c r="W28" s="43">
        <f>SUMPRODUCT($J$9:$S$9,$J$10:$S$10,Build_Flag*Base_Revenue*($J28:$S28*$J$11:$S$11-NWC_Pct*($J28:$S28-$I28:$R28))+(1-Build_Flag)*Base_FCF*$J28:$S28)</f>
      </c>
      <c r="X28" s="43">
        <f>IF(Exit_Flag=1,Base_Revenue*T28*INDEX($J$12:$S$12,1,Forecast_Years)*Exit_Multiple/(1+WACC)^Forecast_Years,IF(TGR&lt;WACC,V28*(1+TGR)/(WACC-TGR)/(1+WACC)^(Forecast_Years-Mid_Year),0))</f>
      </c>
    </row>
    <row r="29" hidden="1" spans="2:24" x14ac:dyDescent="0.25" outlineLevel="1" collapsed="1">
      <c r="B29" s="25">
        <f>B28+1</f>
      </c>
      <c r="C29" s="41">
        <f>IF(F28&lt;Share_Price,E28,C28)</f>
      </c>
      <c r="D29" s="41">
        <f>IF(F28&lt;Share_Price,D28,E28)</f>
      </c>
      <c r="E29" s="41">
        <f>(C29+D29)/2</f>
      </c>
      <c r="F29" s="65">
        <f>IF(Inputs_OK=1,(W29+X29+Net_Bridge)/Shares,0)</f>
      </c>
      <c r="G29" s="65">
        <f>F29-Share_Price</f>
      </c>
      <c r="I29" s="58">
        <f>1</f>
      </c>
      <c r="J29" s="58">
        <f>I29*(1+IF(J$8&lt;=5,$E29,$E29+(TGR-$E29)*(J$8-5)/5))</f>
      </c>
      <c r="K29" s="58">
        <f>J29*(1+IF(K$8&lt;=5,$E29,$E29+(TGR-$E29)*(K$8-5)/5))</f>
      </c>
      <c r="L29" s="58">
        <f>K29*(1+IF(L$8&lt;=5,$E29,$E29+(TGR-$E29)*(L$8-5)/5))</f>
      </c>
      <c r="M29" s="58">
        <f>L29*(1+IF(M$8&lt;=5,$E29,$E29+(TGR-$E29)*(M$8-5)/5))</f>
      </c>
      <c r="N29" s="58">
        <f>M29*(1+IF(N$8&lt;=5,$E29,$E29+(TGR-$E29)*(N$8-5)/5))</f>
      </c>
      <c r="O29" s="58">
        <f>N29*(1+IF(O$8&lt;=5,$E29,$E29+(TGR-$E29)*(O$8-5)/5))</f>
      </c>
      <c r="P29" s="58">
        <f>O29*(1+IF(P$8&lt;=5,$E29,$E29+(TGR-$E29)*(P$8-5)/5))</f>
      </c>
      <c r="Q29" s="58">
        <f>P29*(1+IF(Q$8&lt;=5,$E29,$E29+(TGR-$E29)*(Q$8-5)/5))</f>
      </c>
      <c r="R29" s="58">
        <f>Q29*(1+IF(R$8&lt;=5,$E29,$E29+(TGR-$E29)*(R$8-5)/5))</f>
      </c>
      <c r="S29" s="58">
        <f>R29*(1+IF(S$8&lt;=5,$E29,$E29+(TGR-$E29)*(S$8-5)/5))</f>
      </c>
      <c r="T29" s="58">
        <f>INDEX($J29:$S29,1,Forecast_Years)</f>
      </c>
      <c r="U29" s="58">
        <f>INDEX($I29:$S29,1,Forecast_Years)</f>
      </c>
      <c r="V29" s="43">
        <f>Build_Flag*Base_Revenue*(T29*INDEX($J$11:$S$11,1,Forecast_Years)-NWC_Pct*(T29-U29))+(1-Build_Flag)*Base_FCF*T29</f>
      </c>
      <c r="W29" s="43">
        <f>SUMPRODUCT($J$9:$S$9,$J$10:$S$10,Build_Flag*Base_Revenue*($J29:$S29*$J$11:$S$11-NWC_Pct*($J29:$S29-$I29:$R29))+(1-Build_Flag)*Base_FCF*$J29:$S29)</f>
      </c>
      <c r="X29" s="43">
        <f>IF(Exit_Flag=1,Base_Revenue*T29*INDEX($J$12:$S$12,1,Forecast_Years)*Exit_Multiple/(1+WACC)^Forecast_Years,IF(TGR&lt;WACC,V29*(1+TGR)/(WACC-TGR)/(1+WACC)^(Forecast_Years-Mid_Year),0))</f>
      </c>
    </row>
    <row r="30" hidden="1" spans="2:24" x14ac:dyDescent="0.25" outlineLevel="1" collapsed="1">
      <c r="B30" s="25">
        <f>B29+1</f>
      </c>
      <c r="C30" s="41">
        <f>IF(F29&lt;Share_Price,E29,C29)</f>
      </c>
      <c r="D30" s="41">
        <f>IF(F29&lt;Share_Price,D29,E29)</f>
      </c>
      <c r="E30" s="41">
        <f>(C30+D30)/2</f>
      </c>
      <c r="F30" s="65">
        <f>IF(Inputs_OK=1,(W30+X30+Net_Bridge)/Shares,0)</f>
      </c>
      <c r="G30" s="65">
        <f>F30-Share_Price</f>
      </c>
      <c r="I30" s="58">
        <f>1</f>
      </c>
      <c r="J30" s="58">
        <f>I30*(1+IF(J$8&lt;=5,$E30,$E30+(TGR-$E30)*(J$8-5)/5))</f>
      </c>
      <c r="K30" s="58">
        <f>J30*(1+IF(K$8&lt;=5,$E30,$E30+(TGR-$E30)*(K$8-5)/5))</f>
      </c>
      <c r="L30" s="58">
        <f>K30*(1+IF(L$8&lt;=5,$E30,$E30+(TGR-$E30)*(L$8-5)/5))</f>
      </c>
      <c r="M30" s="58">
        <f>L30*(1+IF(M$8&lt;=5,$E30,$E30+(TGR-$E30)*(M$8-5)/5))</f>
      </c>
      <c r="N30" s="58">
        <f>M30*(1+IF(N$8&lt;=5,$E30,$E30+(TGR-$E30)*(N$8-5)/5))</f>
      </c>
      <c r="O30" s="58">
        <f>N30*(1+IF(O$8&lt;=5,$E30,$E30+(TGR-$E30)*(O$8-5)/5))</f>
      </c>
      <c r="P30" s="58">
        <f>O30*(1+IF(P$8&lt;=5,$E30,$E30+(TGR-$E30)*(P$8-5)/5))</f>
      </c>
      <c r="Q30" s="58">
        <f>P30*(1+IF(Q$8&lt;=5,$E30,$E30+(TGR-$E30)*(Q$8-5)/5))</f>
      </c>
      <c r="R30" s="58">
        <f>Q30*(1+IF(R$8&lt;=5,$E30,$E30+(TGR-$E30)*(R$8-5)/5))</f>
      </c>
      <c r="S30" s="58">
        <f>R30*(1+IF(S$8&lt;=5,$E30,$E30+(TGR-$E30)*(S$8-5)/5))</f>
      </c>
      <c r="T30" s="58">
        <f>INDEX($J30:$S30,1,Forecast_Years)</f>
      </c>
      <c r="U30" s="58">
        <f>INDEX($I30:$S30,1,Forecast_Years)</f>
      </c>
      <c r="V30" s="43">
        <f>Build_Flag*Base_Revenue*(T30*INDEX($J$11:$S$11,1,Forecast_Years)-NWC_Pct*(T30-U30))+(1-Build_Flag)*Base_FCF*T30</f>
      </c>
      <c r="W30" s="43">
        <f>SUMPRODUCT($J$9:$S$9,$J$10:$S$10,Build_Flag*Base_Revenue*($J30:$S30*$J$11:$S$11-NWC_Pct*($J30:$S30-$I30:$R30))+(1-Build_Flag)*Base_FCF*$J30:$S30)</f>
      </c>
      <c r="X30" s="43">
        <f>IF(Exit_Flag=1,Base_Revenue*T30*INDEX($J$12:$S$12,1,Forecast_Years)*Exit_Multiple/(1+WACC)^Forecast_Years,IF(TGR&lt;WACC,V30*(1+TGR)/(WACC-TGR)/(1+WACC)^(Forecast_Years-Mid_Year),0))</f>
      </c>
    </row>
    <row r="31" hidden="1" spans="2:24" x14ac:dyDescent="0.25" outlineLevel="1" collapsed="1">
      <c r="B31" s="25">
        <f>B30+1</f>
      </c>
      <c r="C31" s="41">
        <f>IF(F30&lt;Share_Price,E30,C30)</f>
      </c>
      <c r="D31" s="41">
        <f>IF(F30&lt;Share_Price,D30,E30)</f>
      </c>
      <c r="E31" s="41">
        <f>(C31+D31)/2</f>
      </c>
      <c r="F31" s="65">
        <f>IF(Inputs_OK=1,(W31+X31+Net_Bridge)/Shares,0)</f>
      </c>
      <c r="G31" s="65">
        <f>F31-Share_Price</f>
      </c>
      <c r="I31" s="58">
        <f>1</f>
      </c>
      <c r="J31" s="58">
        <f>I31*(1+IF(J$8&lt;=5,$E31,$E31+(TGR-$E31)*(J$8-5)/5))</f>
      </c>
      <c r="K31" s="58">
        <f>J31*(1+IF(K$8&lt;=5,$E31,$E31+(TGR-$E31)*(K$8-5)/5))</f>
      </c>
      <c r="L31" s="58">
        <f>K31*(1+IF(L$8&lt;=5,$E31,$E31+(TGR-$E31)*(L$8-5)/5))</f>
      </c>
      <c r="M31" s="58">
        <f>L31*(1+IF(M$8&lt;=5,$E31,$E31+(TGR-$E31)*(M$8-5)/5))</f>
      </c>
      <c r="N31" s="58">
        <f>M31*(1+IF(N$8&lt;=5,$E31,$E31+(TGR-$E31)*(N$8-5)/5))</f>
      </c>
      <c r="O31" s="58">
        <f>N31*(1+IF(O$8&lt;=5,$E31,$E31+(TGR-$E31)*(O$8-5)/5))</f>
      </c>
      <c r="P31" s="58">
        <f>O31*(1+IF(P$8&lt;=5,$E31,$E31+(TGR-$E31)*(P$8-5)/5))</f>
      </c>
      <c r="Q31" s="58">
        <f>P31*(1+IF(Q$8&lt;=5,$E31,$E31+(TGR-$E31)*(Q$8-5)/5))</f>
      </c>
      <c r="R31" s="58">
        <f>Q31*(1+IF(R$8&lt;=5,$E31,$E31+(TGR-$E31)*(R$8-5)/5))</f>
      </c>
      <c r="S31" s="58">
        <f>R31*(1+IF(S$8&lt;=5,$E31,$E31+(TGR-$E31)*(S$8-5)/5))</f>
      </c>
      <c r="T31" s="58">
        <f>INDEX($J31:$S31,1,Forecast_Years)</f>
      </c>
      <c r="U31" s="58">
        <f>INDEX($I31:$S31,1,Forecast_Years)</f>
      </c>
      <c r="V31" s="43">
        <f>Build_Flag*Base_Revenue*(T31*INDEX($J$11:$S$11,1,Forecast_Years)-NWC_Pct*(T31-U31))+(1-Build_Flag)*Base_FCF*T31</f>
      </c>
      <c r="W31" s="43">
        <f>SUMPRODUCT($J$9:$S$9,$J$10:$S$10,Build_Flag*Base_Revenue*($J31:$S31*$J$11:$S$11-NWC_Pct*($J31:$S31-$I31:$R31))+(1-Build_Flag)*Base_FCF*$J31:$S31)</f>
      </c>
      <c r="X31" s="43">
        <f>IF(Exit_Flag=1,Base_Revenue*T31*INDEX($J$12:$S$12,1,Forecast_Years)*Exit_Multiple/(1+WACC)^Forecast_Years,IF(TGR&lt;WACC,V31*(1+TGR)/(WACC-TGR)/(1+WACC)^(Forecast_Years-Mid_Year),0))</f>
      </c>
    </row>
    <row r="32" hidden="1" spans="2:24" x14ac:dyDescent="0.25" outlineLevel="1" collapsed="1">
      <c r="B32" s="25">
        <f>B31+1</f>
      </c>
      <c r="C32" s="41">
        <f>IF(F31&lt;Share_Price,E31,C31)</f>
      </c>
      <c r="D32" s="41">
        <f>IF(F31&lt;Share_Price,D31,E31)</f>
      </c>
      <c r="E32" s="41">
        <f>(C32+D32)/2</f>
      </c>
      <c r="F32" s="65">
        <f>IF(Inputs_OK=1,(W32+X32+Net_Bridge)/Shares,0)</f>
      </c>
      <c r="G32" s="65">
        <f>F32-Share_Price</f>
      </c>
      <c r="I32" s="58">
        <f>1</f>
      </c>
      <c r="J32" s="58">
        <f>I32*(1+IF(J$8&lt;=5,$E32,$E32+(TGR-$E32)*(J$8-5)/5))</f>
      </c>
      <c r="K32" s="58">
        <f>J32*(1+IF(K$8&lt;=5,$E32,$E32+(TGR-$E32)*(K$8-5)/5))</f>
      </c>
      <c r="L32" s="58">
        <f>K32*(1+IF(L$8&lt;=5,$E32,$E32+(TGR-$E32)*(L$8-5)/5))</f>
      </c>
      <c r="M32" s="58">
        <f>L32*(1+IF(M$8&lt;=5,$E32,$E32+(TGR-$E32)*(M$8-5)/5))</f>
      </c>
      <c r="N32" s="58">
        <f>M32*(1+IF(N$8&lt;=5,$E32,$E32+(TGR-$E32)*(N$8-5)/5))</f>
      </c>
      <c r="O32" s="58">
        <f>N32*(1+IF(O$8&lt;=5,$E32,$E32+(TGR-$E32)*(O$8-5)/5))</f>
      </c>
      <c r="P32" s="58">
        <f>O32*(1+IF(P$8&lt;=5,$E32,$E32+(TGR-$E32)*(P$8-5)/5))</f>
      </c>
      <c r="Q32" s="58">
        <f>P32*(1+IF(Q$8&lt;=5,$E32,$E32+(TGR-$E32)*(Q$8-5)/5))</f>
      </c>
      <c r="R32" s="58">
        <f>Q32*(1+IF(R$8&lt;=5,$E32,$E32+(TGR-$E32)*(R$8-5)/5))</f>
      </c>
      <c r="S32" s="58">
        <f>R32*(1+IF(S$8&lt;=5,$E32,$E32+(TGR-$E32)*(S$8-5)/5))</f>
      </c>
      <c r="T32" s="58">
        <f>INDEX($J32:$S32,1,Forecast_Years)</f>
      </c>
      <c r="U32" s="58">
        <f>INDEX($I32:$S32,1,Forecast_Years)</f>
      </c>
      <c r="V32" s="43">
        <f>Build_Flag*Base_Revenue*(T32*INDEX($J$11:$S$11,1,Forecast_Years)-NWC_Pct*(T32-U32))+(1-Build_Flag)*Base_FCF*T32</f>
      </c>
      <c r="W32" s="43">
        <f>SUMPRODUCT($J$9:$S$9,$J$10:$S$10,Build_Flag*Base_Revenue*($J32:$S32*$J$11:$S$11-NWC_Pct*($J32:$S32-$I32:$R32))+(1-Build_Flag)*Base_FCF*$J32:$S32)</f>
      </c>
      <c r="X32" s="43">
        <f>IF(Exit_Flag=1,Base_Revenue*T32*INDEX($J$12:$S$12,1,Forecast_Years)*Exit_Multiple/(1+WACC)^Forecast_Years,IF(TGR&lt;WACC,V32*(1+TGR)/(WACC-TGR)/(1+WACC)^(Forecast_Years-Mid_Year),0))</f>
      </c>
    </row>
    <row r="33" hidden="1" spans="2:24" x14ac:dyDescent="0.25" outlineLevel="1" collapsed="1">
      <c r="B33" s="25">
        <f>B32+1</f>
      </c>
      <c r="C33" s="41">
        <f>IF(F32&lt;Share_Price,E32,C32)</f>
      </c>
      <c r="D33" s="41">
        <f>IF(F32&lt;Share_Price,D32,E32)</f>
      </c>
      <c r="E33" s="41">
        <f>(C33+D33)/2</f>
      </c>
      <c r="F33" s="65">
        <f>IF(Inputs_OK=1,(W33+X33+Net_Bridge)/Shares,0)</f>
      </c>
      <c r="G33" s="65">
        <f>F33-Share_Price</f>
      </c>
      <c r="I33" s="58">
        <f>1</f>
      </c>
      <c r="J33" s="58">
        <f>I33*(1+IF(J$8&lt;=5,$E33,$E33+(TGR-$E33)*(J$8-5)/5))</f>
      </c>
      <c r="K33" s="58">
        <f>J33*(1+IF(K$8&lt;=5,$E33,$E33+(TGR-$E33)*(K$8-5)/5))</f>
      </c>
      <c r="L33" s="58">
        <f>K33*(1+IF(L$8&lt;=5,$E33,$E33+(TGR-$E33)*(L$8-5)/5))</f>
      </c>
      <c r="M33" s="58">
        <f>L33*(1+IF(M$8&lt;=5,$E33,$E33+(TGR-$E33)*(M$8-5)/5))</f>
      </c>
      <c r="N33" s="58">
        <f>M33*(1+IF(N$8&lt;=5,$E33,$E33+(TGR-$E33)*(N$8-5)/5))</f>
      </c>
      <c r="O33" s="58">
        <f>N33*(1+IF(O$8&lt;=5,$E33,$E33+(TGR-$E33)*(O$8-5)/5))</f>
      </c>
      <c r="P33" s="58">
        <f>O33*(1+IF(P$8&lt;=5,$E33,$E33+(TGR-$E33)*(P$8-5)/5))</f>
      </c>
      <c r="Q33" s="58">
        <f>P33*(1+IF(Q$8&lt;=5,$E33,$E33+(TGR-$E33)*(Q$8-5)/5))</f>
      </c>
      <c r="R33" s="58">
        <f>Q33*(1+IF(R$8&lt;=5,$E33,$E33+(TGR-$E33)*(R$8-5)/5))</f>
      </c>
      <c r="S33" s="58">
        <f>R33*(1+IF(S$8&lt;=5,$E33,$E33+(TGR-$E33)*(S$8-5)/5))</f>
      </c>
      <c r="T33" s="58">
        <f>INDEX($J33:$S33,1,Forecast_Years)</f>
      </c>
      <c r="U33" s="58">
        <f>INDEX($I33:$S33,1,Forecast_Years)</f>
      </c>
      <c r="V33" s="43">
        <f>Build_Flag*Base_Revenue*(T33*INDEX($J$11:$S$11,1,Forecast_Years)-NWC_Pct*(T33-U33))+(1-Build_Flag)*Base_FCF*T33</f>
      </c>
      <c r="W33" s="43">
        <f>SUMPRODUCT($J$9:$S$9,$J$10:$S$10,Build_Flag*Base_Revenue*($J33:$S33*$J$11:$S$11-NWC_Pct*($J33:$S33-$I33:$R33))+(1-Build_Flag)*Base_FCF*$J33:$S33)</f>
      </c>
      <c r="X33" s="43">
        <f>IF(Exit_Flag=1,Base_Revenue*T33*INDEX($J$12:$S$12,1,Forecast_Years)*Exit_Multiple/(1+WACC)^Forecast_Years,IF(TGR&lt;WACC,V33*(1+TGR)/(WACC-TGR)/(1+WACC)^(Forecast_Years-Mid_Year),0))</f>
      </c>
    </row>
    <row r="34" hidden="1" spans="2:24" x14ac:dyDescent="0.25" outlineLevel="1" collapsed="1">
      <c r="B34" s="25">
        <f>B33+1</f>
      </c>
      <c r="C34" s="41">
        <f>IF(F33&lt;Share_Price,E33,C33)</f>
      </c>
      <c r="D34" s="41">
        <f>IF(F33&lt;Share_Price,D33,E33)</f>
      </c>
      <c r="E34" s="41">
        <f>(C34+D34)/2</f>
      </c>
      <c r="F34" s="65">
        <f>IF(Inputs_OK=1,(W34+X34+Net_Bridge)/Shares,0)</f>
      </c>
      <c r="G34" s="65">
        <f>F34-Share_Price</f>
      </c>
      <c r="I34" s="58">
        <f>1</f>
      </c>
      <c r="J34" s="58">
        <f>I34*(1+IF(J$8&lt;=5,$E34,$E34+(TGR-$E34)*(J$8-5)/5))</f>
      </c>
      <c r="K34" s="58">
        <f>J34*(1+IF(K$8&lt;=5,$E34,$E34+(TGR-$E34)*(K$8-5)/5))</f>
      </c>
      <c r="L34" s="58">
        <f>K34*(1+IF(L$8&lt;=5,$E34,$E34+(TGR-$E34)*(L$8-5)/5))</f>
      </c>
      <c r="M34" s="58">
        <f>L34*(1+IF(M$8&lt;=5,$E34,$E34+(TGR-$E34)*(M$8-5)/5))</f>
      </c>
      <c r="N34" s="58">
        <f>M34*(1+IF(N$8&lt;=5,$E34,$E34+(TGR-$E34)*(N$8-5)/5))</f>
      </c>
      <c r="O34" s="58">
        <f>N34*(1+IF(O$8&lt;=5,$E34,$E34+(TGR-$E34)*(O$8-5)/5))</f>
      </c>
      <c r="P34" s="58">
        <f>O34*(1+IF(P$8&lt;=5,$E34,$E34+(TGR-$E34)*(P$8-5)/5))</f>
      </c>
      <c r="Q34" s="58">
        <f>P34*(1+IF(Q$8&lt;=5,$E34,$E34+(TGR-$E34)*(Q$8-5)/5))</f>
      </c>
      <c r="R34" s="58">
        <f>Q34*(1+IF(R$8&lt;=5,$E34,$E34+(TGR-$E34)*(R$8-5)/5))</f>
      </c>
      <c r="S34" s="58">
        <f>R34*(1+IF(S$8&lt;=5,$E34,$E34+(TGR-$E34)*(S$8-5)/5))</f>
      </c>
      <c r="T34" s="58">
        <f>INDEX($J34:$S34,1,Forecast_Years)</f>
      </c>
      <c r="U34" s="58">
        <f>INDEX($I34:$S34,1,Forecast_Years)</f>
      </c>
      <c r="V34" s="43">
        <f>Build_Flag*Base_Revenue*(T34*INDEX($J$11:$S$11,1,Forecast_Years)-NWC_Pct*(T34-U34))+(1-Build_Flag)*Base_FCF*T34</f>
      </c>
      <c r="W34" s="43">
        <f>SUMPRODUCT($J$9:$S$9,$J$10:$S$10,Build_Flag*Base_Revenue*($J34:$S34*$J$11:$S$11-NWC_Pct*($J34:$S34-$I34:$R34))+(1-Build_Flag)*Base_FCF*$J34:$S34)</f>
      </c>
      <c r="X34" s="43">
        <f>IF(Exit_Flag=1,Base_Revenue*T34*INDEX($J$12:$S$12,1,Forecast_Years)*Exit_Multiple/(1+WACC)^Forecast_Years,IF(TGR&lt;WACC,V34*(1+TGR)/(WACC-TGR)/(1+WACC)^(Forecast_Years-Mid_Year),0))</f>
      </c>
    </row>
    <row r="35" hidden="1" spans="2:24" x14ac:dyDescent="0.25" outlineLevel="1" collapsed="1">
      <c r="B35" s="25">
        <f>B34+1</f>
      </c>
      <c r="C35" s="41">
        <f>IF(F34&lt;Share_Price,E34,C34)</f>
      </c>
      <c r="D35" s="41">
        <f>IF(F34&lt;Share_Price,D34,E34)</f>
      </c>
      <c r="E35" s="41">
        <f>(C35+D35)/2</f>
      </c>
      <c r="F35" s="65">
        <f>IF(Inputs_OK=1,(W35+X35+Net_Bridge)/Shares,0)</f>
      </c>
      <c r="G35" s="65">
        <f>F35-Share_Price</f>
      </c>
      <c r="I35" s="58">
        <f>1</f>
      </c>
      <c r="J35" s="58">
        <f>I35*(1+IF(J$8&lt;=5,$E35,$E35+(TGR-$E35)*(J$8-5)/5))</f>
      </c>
      <c r="K35" s="58">
        <f>J35*(1+IF(K$8&lt;=5,$E35,$E35+(TGR-$E35)*(K$8-5)/5))</f>
      </c>
      <c r="L35" s="58">
        <f>K35*(1+IF(L$8&lt;=5,$E35,$E35+(TGR-$E35)*(L$8-5)/5))</f>
      </c>
      <c r="M35" s="58">
        <f>L35*(1+IF(M$8&lt;=5,$E35,$E35+(TGR-$E35)*(M$8-5)/5))</f>
      </c>
      <c r="N35" s="58">
        <f>M35*(1+IF(N$8&lt;=5,$E35,$E35+(TGR-$E35)*(N$8-5)/5))</f>
      </c>
      <c r="O35" s="58">
        <f>N35*(1+IF(O$8&lt;=5,$E35,$E35+(TGR-$E35)*(O$8-5)/5))</f>
      </c>
      <c r="P35" s="58">
        <f>O35*(1+IF(P$8&lt;=5,$E35,$E35+(TGR-$E35)*(P$8-5)/5))</f>
      </c>
      <c r="Q35" s="58">
        <f>P35*(1+IF(Q$8&lt;=5,$E35,$E35+(TGR-$E35)*(Q$8-5)/5))</f>
      </c>
      <c r="R35" s="58">
        <f>Q35*(1+IF(R$8&lt;=5,$E35,$E35+(TGR-$E35)*(R$8-5)/5))</f>
      </c>
      <c r="S35" s="58">
        <f>R35*(1+IF(S$8&lt;=5,$E35,$E35+(TGR-$E35)*(S$8-5)/5))</f>
      </c>
      <c r="T35" s="58">
        <f>INDEX($J35:$S35,1,Forecast_Years)</f>
      </c>
      <c r="U35" s="58">
        <f>INDEX($I35:$S35,1,Forecast_Years)</f>
      </c>
      <c r="V35" s="43">
        <f>Build_Flag*Base_Revenue*(T35*INDEX($J$11:$S$11,1,Forecast_Years)-NWC_Pct*(T35-U35))+(1-Build_Flag)*Base_FCF*T35</f>
      </c>
      <c r="W35" s="43">
        <f>SUMPRODUCT($J$9:$S$9,$J$10:$S$10,Build_Flag*Base_Revenue*($J35:$S35*$J$11:$S$11-NWC_Pct*($J35:$S35-$I35:$R35))+(1-Build_Flag)*Base_FCF*$J35:$S35)</f>
      </c>
      <c r="X35" s="43">
        <f>IF(Exit_Flag=1,Base_Revenue*T35*INDEX($J$12:$S$12,1,Forecast_Years)*Exit_Multiple/(1+WACC)^Forecast_Years,IF(TGR&lt;WACC,V35*(1+TGR)/(WACC-TGR)/(1+WACC)^(Forecast_Years-Mid_Year),0))</f>
      </c>
    </row>
    <row r="36" hidden="1" spans="2:24" x14ac:dyDescent="0.25" outlineLevel="1" collapsed="1">
      <c r="B36" s="25">
        <f>B35+1</f>
      </c>
      <c r="C36" s="41">
        <f>IF(F35&lt;Share_Price,E35,C35)</f>
      </c>
      <c r="D36" s="41">
        <f>IF(F35&lt;Share_Price,D35,E35)</f>
      </c>
      <c r="E36" s="41">
        <f>(C36+D36)/2</f>
      </c>
      <c r="F36" s="65">
        <f>IF(Inputs_OK=1,(W36+X36+Net_Bridge)/Shares,0)</f>
      </c>
      <c r="G36" s="65">
        <f>F36-Share_Price</f>
      </c>
      <c r="I36" s="58">
        <f>1</f>
      </c>
      <c r="J36" s="58">
        <f>I36*(1+IF(J$8&lt;=5,$E36,$E36+(TGR-$E36)*(J$8-5)/5))</f>
      </c>
      <c r="K36" s="58">
        <f>J36*(1+IF(K$8&lt;=5,$E36,$E36+(TGR-$E36)*(K$8-5)/5))</f>
      </c>
      <c r="L36" s="58">
        <f>K36*(1+IF(L$8&lt;=5,$E36,$E36+(TGR-$E36)*(L$8-5)/5))</f>
      </c>
      <c r="M36" s="58">
        <f>L36*(1+IF(M$8&lt;=5,$E36,$E36+(TGR-$E36)*(M$8-5)/5))</f>
      </c>
      <c r="N36" s="58">
        <f>M36*(1+IF(N$8&lt;=5,$E36,$E36+(TGR-$E36)*(N$8-5)/5))</f>
      </c>
      <c r="O36" s="58">
        <f>N36*(1+IF(O$8&lt;=5,$E36,$E36+(TGR-$E36)*(O$8-5)/5))</f>
      </c>
      <c r="P36" s="58">
        <f>O36*(1+IF(P$8&lt;=5,$E36,$E36+(TGR-$E36)*(P$8-5)/5))</f>
      </c>
      <c r="Q36" s="58">
        <f>P36*(1+IF(Q$8&lt;=5,$E36,$E36+(TGR-$E36)*(Q$8-5)/5))</f>
      </c>
      <c r="R36" s="58">
        <f>Q36*(1+IF(R$8&lt;=5,$E36,$E36+(TGR-$E36)*(R$8-5)/5))</f>
      </c>
      <c r="S36" s="58">
        <f>R36*(1+IF(S$8&lt;=5,$E36,$E36+(TGR-$E36)*(S$8-5)/5))</f>
      </c>
      <c r="T36" s="58">
        <f>INDEX($J36:$S36,1,Forecast_Years)</f>
      </c>
      <c r="U36" s="58">
        <f>INDEX($I36:$S36,1,Forecast_Years)</f>
      </c>
      <c r="V36" s="43">
        <f>Build_Flag*Base_Revenue*(T36*INDEX($J$11:$S$11,1,Forecast_Years)-NWC_Pct*(T36-U36))+(1-Build_Flag)*Base_FCF*T36</f>
      </c>
      <c r="W36" s="43">
        <f>SUMPRODUCT($J$9:$S$9,$J$10:$S$10,Build_Flag*Base_Revenue*($J36:$S36*$J$11:$S$11-NWC_Pct*($J36:$S36-$I36:$R36))+(1-Build_Flag)*Base_FCF*$J36:$S36)</f>
      </c>
      <c r="X36" s="43">
        <f>IF(Exit_Flag=1,Base_Revenue*T36*INDEX($J$12:$S$12,1,Forecast_Years)*Exit_Multiple/(1+WACC)^Forecast_Years,IF(TGR&lt;WACC,V36*(1+TGR)/(WACC-TGR)/(1+WACC)^(Forecast_Years-Mid_Year),0))</f>
      </c>
    </row>
    <row r="37" hidden="1" spans="2:24" x14ac:dyDescent="0.25" outlineLevel="1" collapsed="1">
      <c r="B37" s="25">
        <f>B36+1</f>
      </c>
      <c r="C37" s="41">
        <f>IF(F36&lt;Share_Price,E36,C36)</f>
      </c>
      <c r="D37" s="41">
        <f>IF(F36&lt;Share_Price,D36,E36)</f>
      </c>
      <c r="E37" s="41">
        <f>(C37+D37)/2</f>
      </c>
      <c r="F37" s="65">
        <f>IF(Inputs_OK=1,(W37+X37+Net_Bridge)/Shares,0)</f>
      </c>
      <c r="G37" s="65">
        <f>F37-Share_Price</f>
      </c>
      <c r="I37" s="58">
        <f>1</f>
      </c>
      <c r="J37" s="58">
        <f>I37*(1+IF(J$8&lt;=5,$E37,$E37+(TGR-$E37)*(J$8-5)/5))</f>
      </c>
      <c r="K37" s="58">
        <f>J37*(1+IF(K$8&lt;=5,$E37,$E37+(TGR-$E37)*(K$8-5)/5))</f>
      </c>
      <c r="L37" s="58">
        <f>K37*(1+IF(L$8&lt;=5,$E37,$E37+(TGR-$E37)*(L$8-5)/5))</f>
      </c>
      <c r="M37" s="58">
        <f>L37*(1+IF(M$8&lt;=5,$E37,$E37+(TGR-$E37)*(M$8-5)/5))</f>
      </c>
      <c r="N37" s="58">
        <f>M37*(1+IF(N$8&lt;=5,$E37,$E37+(TGR-$E37)*(N$8-5)/5))</f>
      </c>
      <c r="O37" s="58">
        <f>N37*(1+IF(O$8&lt;=5,$E37,$E37+(TGR-$E37)*(O$8-5)/5))</f>
      </c>
      <c r="P37" s="58">
        <f>O37*(1+IF(P$8&lt;=5,$E37,$E37+(TGR-$E37)*(P$8-5)/5))</f>
      </c>
      <c r="Q37" s="58">
        <f>P37*(1+IF(Q$8&lt;=5,$E37,$E37+(TGR-$E37)*(Q$8-5)/5))</f>
      </c>
      <c r="R37" s="58">
        <f>Q37*(1+IF(R$8&lt;=5,$E37,$E37+(TGR-$E37)*(R$8-5)/5))</f>
      </c>
      <c r="S37" s="58">
        <f>R37*(1+IF(S$8&lt;=5,$E37,$E37+(TGR-$E37)*(S$8-5)/5))</f>
      </c>
      <c r="T37" s="58">
        <f>INDEX($J37:$S37,1,Forecast_Years)</f>
      </c>
      <c r="U37" s="58">
        <f>INDEX($I37:$S37,1,Forecast_Years)</f>
      </c>
      <c r="V37" s="43">
        <f>Build_Flag*Base_Revenue*(T37*INDEX($J$11:$S$11,1,Forecast_Years)-NWC_Pct*(T37-U37))+(1-Build_Flag)*Base_FCF*T37</f>
      </c>
      <c r="W37" s="43">
        <f>SUMPRODUCT($J$9:$S$9,$J$10:$S$10,Build_Flag*Base_Revenue*($J37:$S37*$J$11:$S$11-NWC_Pct*($J37:$S37-$I37:$R37))+(1-Build_Flag)*Base_FCF*$J37:$S37)</f>
      </c>
      <c r="X37" s="43">
        <f>IF(Exit_Flag=1,Base_Revenue*T37*INDEX($J$12:$S$12,1,Forecast_Years)*Exit_Multiple/(1+WACC)^Forecast_Years,IF(TGR&lt;WACC,V37*(1+TGR)/(WACC-TGR)/(1+WACC)^(Forecast_Years-Mid_Year),0))</f>
      </c>
    </row>
    <row r="38" hidden="1" spans="2:24" x14ac:dyDescent="0.25" outlineLevel="1" collapsed="1">
      <c r="B38" s="25">
        <f>B37+1</f>
      </c>
      <c r="C38" s="41">
        <f>IF(F37&lt;Share_Price,E37,C37)</f>
      </c>
      <c r="D38" s="41">
        <f>IF(F37&lt;Share_Price,D37,E37)</f>
      </c>
      <c r="E38" s="41">
        <f>(C38+D38)/2</f>
      </c>
      <c r="F38" s="65">
        <f>IF(Inputs_OK=1,(W38+X38+Net_Bridge)/Shares,0)</f>
      </c>
      <c r="G38" s="65">
        <f>F38-Share_Price</f>
      </c>
      <c r="I38" s="58">
        <f>1</f>
      </c>
      <c r="J38" s="58">
        <f>I38*(1+IF(J$8&lt;=5,$E38,$E38+(TGR-$E38)*(J$8-5)/5))</f>
      </c>
      <c r="K38" s="58">
        <f>J38*(1+IF(K$8&lt;=5,$E38,$E38+(TGR-$E38)*(K$8-5)/5))</f>
      </c>
      <c r="L38" s="58">
        <f>K38*(1+IF(L$8&lt;=5,$E38,$E38+(TGR-$E38)*(L$8-5)/5))</f>
      </c>
      <c r="M38" s="58">
        <f>L38*(1+IF(M$8&lt;=5,$E38,$E38+(TGR-$E38)*(M$8-5)/5))</f>
      </c>
      <c r="N38" s="58">
        <f>M38*(1+IF(N$8&lt;=5,$E38,$E38+(TGR-$E38)*(N$8-5)/5))</f>
      </c>
      <c r="O38" s="58">
        <f>N38*(1+IF(O$8&lt;=5,$E38,$E38+(TGR-$E38)*(O$8-5)/5))</f>
      </c>
      <c r="P38" s="58">
        <f>O38*(1+IF(P$8&lt;=5,$E38,$E38+(TGR-$E38)*(P$8-5)/5))</f>
      </c>
      <c r="Q38" s="58">
        <f>P38*(1+IF(Q$8&lt;=5,$E38,$E38+(TGR-$E38)*(Q$8-5)/5))</f>
      </c>
      <c r="R38" s="58">
        <f>Q38*(1+IF(R$8&lt;=5,$E38,$E38+(TGR-$E38)*(R$8-5)/5))</f>
      </c>
      <c r="S38" s="58">
        <f>R38*(1+IF(S$8&lt;=5,$E38,$E38+(TGR-$E38)*(S$8-5)/5))</f>
      </c>
      <c r="T38" s="58">
        <f>INDEX($J38:$S38,1,Forecast_Years)</f>
      </c>
      <c r="U38" s="58">
        <f>INDEX($I38:$S38,1,Forecast_Years)</f>
      </c>
      <c r="V38" s="43">
        <f>Build_Flag*Base_Revenue*(T38*INDEX($J$11:$S$11,1,Forecast_Years)-NWC_Pct*(T38-U38))+(1-Build_Flag)*Base_FCF*T38</f>
      </c>
      <c r="W38" s="43">
        <f>SUMPRODUCT($J$9:$S$9,$J$10:$S$10,Build_Flag*Base_Revenue*($J38:$S38*$J$11:$S$11-NWC_Pct*($J38:$S38-$I38:$R38))+(1-Build_Flag)*Base_FCF*$J38:$S38)</f>
      </c>
      <c r="X38" s="43">
        <f>IF(Exit_Flag=1,Base_Revenue*T38*INDEX($J$12:$S$12,1,Forecast_Years)*Exit_Multiple/(1+WACC)^Forecast_Years,IF(TGR&lt;WACC,V38*(1+TGR)/(WACC-TGR)/(1+WACC)^(Forecast_Years-Mid_Year),0))</f>
      </c>
    </row>
    <row r="39" hidden="1" spans="2:24" x14ac:dyDescent="0.25" outlineLevel="1" collapsed="1">
      <c r="B39" s="25">
        <f>B38+1</f>
      </c>
      <c r="C39" s="41">
        <f>IF(F38&lt;Share_Price,E38,C38)</f>
      </c>
      <c r="D39" s="41">
        <f>IF(F38&lt;Share_Price,D38,E38)</f>
      </c>
      <c r="E39" s="41">
        <f>(C39+D39)/2</f>
      </c>
      <c r="F39" s="65">
        <f>IF(Inputs_OK=1,(W39+X39+Net_Bridge)/Shares,0)</f>
      </c>
      <c r="G39" s="65">
        <f>F39-Share_Price</f>
      </c>
      <c r="I39" s="58">
        <f>1</f>
      </c>
      <c r="J39" s="58">
        <f>I39*(1+IF(J$8&lt;=5,$E39,$E39+(TGR-$E39)*(J$8-5)/5))</f>
      </c>
      <c r="K39" s="58">
        <f>J39*(1+IF(K$8&lt;=5,$E39,$E39+(TGR-$E39)*(K$8-5)/5))</f>
      </c>
      <c r="L39" s="58">
        <f>K39*(1+IF(L$8&lt;=5,$E39,$E39+(TGR-$E39)*(L$8-5)/5))</f>
      </c>
      <c r="M39" s="58">
        <f>L39*(1+IF(M$8&lt;=5,$E39,$E39+(TGR-$E39)*(M$8-5)/5))</f>
      </c>
      <c r="N39" s="58">
        <f>M39*(1+IF(N$8&lt;=5,$E39,$E39+(TGR-$E39)*(N$8-5)/5))</f>
      </c>
      <c r="O39" s="58">
        <f>N39*(1+IF(O$8&lt;=5,$E39,$E39+(TGR-$E39)*(O$8-5)/5))</f>
      </c>
      <c r="P39" s="58">
        <f>O39*(1+IF(P$8&lt;=5,$E39,$E39+(TGR-$E39)*(P$8-5)/5))</f>
      </c>
      <c r="Q39" s="58">
        <f>P39*(1+IF(Q$8&lt;=5,$E39,$E39+(TGR-$E39)*(Q$8-5)/5))</f>
      </c>
      <c r="R39" s="58">
        <f>Q39*(1+IF(R$8&lt;=5,$E39,$E39+(TGR-$E39)*(R$8-5)/5))</f>
      </c>
      <c r="S39" s="58">
        <f>R39*(1+IF(S$8&lt;=5,$E39,$E39+(TGR-$E39)*(S$8-5)/5))</f>
      </c>
      <c r="T39" s="58">
        <f>INDEX($J39:$S39,1,Forecast_Years)</f>
      </c>
      <c r="U39" s="58">
        <f>INDEX($I39:$S39,1,Forecast_Years)</f>
      </c>
      <c r="V39" s="43">
        <f>Build_Flag*Base_Revenue*(T39*INDEX($J$11:$S$11,1,Forecast_Years)-NWC_Pct*(T39-U39))+(1-Build_Flag)*Base_FCF*T39</f>
      </c>
      <c r="W39" s="43">
        <f>SUMPRODUCT($J$9:$S$9,$J$10:$S$10,Build_Flag*Base_Revenue*($J39:$S39*$J$11:$S$11-NWC_Pct*($J39:$S39-$I39:$R39))+(1-Build_Flag)*Base_FCF*$J39:$S39)</f>
      </c>
      <c r="X39" s="43">
        <f>IF(Exit_Flag=1,Base_Revenue*T39*INDEX($J$12:$S$12,1,Forecast_Years)*Exit_Multiple/(1+WACC)^Forecast_Years,IF(TGR&lt;WACC,V39*(1+TGR)/(WACC-TGR)/(1+WACC)^(Forecast_Years-Mid_Year),0))</f>
      </c>
    </row>
    <row r="40" hidden="1" spans="2:24" x14ac:dyDescent="0.25" outlineLevel="1" collapsed="1">
      <c r="B40" s="25">
        <f>B39+1</f>
      </c>
      <c r="C40" s="41">
        <f>IF(F39&lt;Share_Price,E39,C39)</f>
      </c>
      <c r="D40" s="41">
        <f>IF(F39&lt;Share_Price,D39,E39)</f>
      </c>
      <c r="E40" s="41">
        <f>(C40+D40)/2</f>
      </c>
      <c r="F40" s="65">
        <f>IF(Inputs_OK=1,(W40+X40+Net_Bridge)/Shares,0)</f>
      </c>
      <c r="G40" s="65">
        <f>F40-Share_Price</f>
      </c>
      <c r="I40" s="58">
        <f>1</f>
      </c>
      <c r="J40" s="58">
        <f>I40*(1+IF(J$8&lt;=5,$E40,$E40+(TGR-$E40)*(J$8-5)/5))</f>
      </c>
      <c r="K40" s="58">
        <f>J40*(1+IF(K$8&lt;=5,$E40,$E40+(TGR-$E40)*(K$8-5)/5))</f>
      </c>
      <c r="L40" s="58">
        <f>K40*(1+IF(L$8&lt;=5,$E40,$E40+(TGR-$E40)*(L$8-5)/5))</f>
      </c>
      <c r="M40" s="58">
        <f>L40*(1+IF(M$8&lt;=5,$E40,$E40+(TGR-$E40)*(M$8-5)/5))</f>
      </c>
      <c r="N40" s="58">
        <f>M40*(1+IF(N$8&lt;=5,$E40,$E40+(TGR-$E40)*(N$8-5)/5))</f>
      </c>
      <c r="O40" s="58">
        <f>N40*(1+IF(O$8&lt;=5,$E40,$E40+(TGR-$E40)*(O$8-5)/5))</f>
      </c>
      <c r="P40" s="58">
        <f>O40*(1+IF(P$8&lt;=5,$E40,$E40+(TGR-$E40)*(P$8-5)/5))</f>
      </c>
      <c r="Q40" s="58">
        <f>P40*(1+IF(Q$8&lt;=5,$E40,$E40+(TGR-$E40)*(Q$8-5)/5))</f>
      </c>
      <c r="R40" s="58">
        <f>Q40*(1+IF(R$8&lt;=5,$E40,$E40+(TGR-$E40)*(R$8-5)/5))</f>
      </c>
      <c r="S40" s="58">
        <f>R40*(1+IF(S$8&lt;=5,$E40,$E40+(TGR-$E40)*(S$8-5)/5))</f>
      </c>
      <c r="T40" s="58">
        <f>INDEX($J40:$S40,1,Forecast_Years)</f>
      </c>
      <c r="U40" s="58">
        <f>INDEX($I40:$S40,1,Forecast_Years)</f>
      </c>
      <c r="V40" s="43">
        <f>Build_Flag*Base_Revenue*(T40*INDEX($J$11:$S$11,1,Forecast_Years)-NWC_Pct*(T40-U40))+(1-Build_Flag)*Base_FCF*T40</f>
      </c>
      <c r="W40" s="43">
        <f>SUMPRODUCT($J$9:$S$9,$J$10:$S$10,Build_Flag*Base_Revenue*($J40:$S40*$J$11:$S$11-NWC_Pct*($J40:$S40-$I40:$R40))+(1-Build_Flag)*Base_FCF*$J40:$S40)</f>
      </c>
      <c r="X40" s="43">
        <f>IF(Exit_Flag=1,Base_Revenue*T40*INDEX($J$12:$S$12,1,Forecast_Years)*Exit_Multiple/(1+WACC)^Forecast_Years,IF(TGR&lt;WACC,V40*(1+TGR)/(WACC-TGR)/(1+WACC)^(Forecast_Years-Mid_Year),0))</f>
      </c>
    </row>
    <row r="41" hidden="1" spans="2:24" x14ac:dyDescent="0.25" outlineLevel="1" collapsed="1">
      <c r="B41" s="25">
        <f>B40+1</f>
      </c>
      <c r="C41" s="41">
        <f>IF(F40&lt;Share_Price,E40,C40)</f>
      </c>
      <c r="D41" s="41">
        <f>IF(F40&lt;Share_Price,D40,E40)</f>
      </c>
      <c r="E41" s="41">
        <f>(C41+D41)/2</f>
      </c>
      <c r="F41" s="65">
        <f>IF(Inputs_OK=1,(W41+X41+Net_Bridge)/Shares,0)</f>
      </c>
      <c r="G41" s="65">
        <f>F41-Share_Price</f>
      </c>
      <c r="I41" s="58">
        <f>1</f>
      </c>
      <c r="J41" s="58">
        <f>I41*(1+IF(J$8&lt;=5,$E41,$E41+(TGR-$E41)*(J$8-5)/5))</f>
      </c>
      <c r="K41" s="58">
        <f>J41*(1+IF(K$8&lt;=5,$E41,$E41+(TGR-$E41)*(K$8-5)/5))</f>
      </c>
      <c r="L41" s="58">
        <f>K41*(1+IF(L$8&lt;=5,$E41,$E41+(TGR-$E41)*(L$8-5)/5))</f>
      </c>
      <c r="M41" s="58">
        <f>L41*(1+IF(M$8&lt;=5,$E41,$E41+(TGR-$E41)*(M$8-5)/5))</f>
      </c>
      <c r="N41" s="58">
        <f>M41*(1+IF(N$8&lt;=5,$E41,$E41+(TGR-$E41)*(N$8-5)/5))</f>
      </c>
      <c r="O41" s="58">
        <f>N41*(1+IF(O$8&lt;=5,$E41,$E41+(TGR-$E41)*(O$8-5)/5))</f>
      </c>
      <c r="P41" s="58">
        <f>O41*(1+IF(P$8&lt;=5,$E41,$E41+(TGR-$E41)*(P$8-5)/5))</f>
      </c>
      <c r="Q41" s="58">
        <f>P41*(1+IF(Q$8&lt;=5,$E41,$E41+(TGR-$E41)*(Q$8-5)/5))</f>
      </c>
      <c r="R41" s="58">
        <f>Q41*(1+IF(R$8&lt;=5,$E41,$E41+(TGR-$E41)*(R$8-5)/5))</f>
      </c>
      <c r="S41" s="58">
        <f>R41*(1+IF(S$8&lt;=5,$E41,$E41+(TGR-$E41)*(S$8-5)/5))</f>
      </c>
      <c r="T41" s="58">
        <f>INDEX($J41:$S41,1,Forecast_Years)</f>
      </c>
      <c r="U41" s="58">
        <f>INDEX($I41:$S41,1,Forecast_Years)</f>
      </c>
      <c r="V41" s="43">
        <f>Build_Flag*Base_Revenue*(T41*INDEX($J$11:$S$11,1,Forecast_Years)-NWC_Pct*(T41-U41))+(1-Build_Flag)*Base_FCF*T41</f>
      </c>
      <c r="W41" s="43">
        <f>SUMPRODUCT($J$9:$S$9,$J$10:$S$10,Build_Flag*Base_Revenue*($J41:$S41*$J$11:$S$11-NWC_Pct*($J41:$S41-$I41:$R41))+(1-Build_Flag)*Base_FCF*$J41:$S41)</f>
      </c>
      <c r="X41" s="43">
        <f>IF(Exit_Flag=1,Base_Revenue*T41*INDEX($J$12:$S$12,1,Forecast_Years)*Exit_Multiple/(1+WACC)^Forecast_Years,IF(TGR&lt;WACC,V41*(1+TGR)/(WACC-TGR)/(1+WACC)^(Forecast_Years-Mid_Year),0))</f>
      </c>
    </row>
    <row r="42" hidden="1" spans="2:24" x14ac:dyDescent="0.25" outlineLevel="1" collapsed="1">
      <c r="B42" s="25">
        <f>B41+1</f>
      </c>
      <c r="C42" s="41">
        <f>IF(F41&lt;Share_Price,E41,C41)</f>
      </c>
      <c r="D42" s="41">
        <f>IF(F41&lt;Share_Price,D41,E41)</f>
      </c>
      <c r="E42" s="41">
        <f>(C42+D42)/2</f>
      </c>
      <c r="F42" s="65">
        <f>IF(Inputs_OK=1,(W42+X42+Net_Bridge)/Shares,0)</f>
      </c>
      <c r="G42" s="65">
        <f>F42-Share_Price</f>
      </c>
      <c r="I42" s="58">
        <f>1</f>
      </c>
      <c r="J42" s="58">
        <f>I42*(1+IF(J$8&lt;=5,$E42,$E42+(TGR-$E42)*(J$8-5)/5))</f>
      </c>
      <c r="K42" s="58">
        <f>J42*(1+IF(K$8&lt;=5,$E42,$E42+(TGR-$E42)*(K$8-5)/5))</f>
      </c>
      <c r="L42" s="58">
        <f>K42*(1+IF(L$8&lt;=5,$E42,$E42+(TGR-$E42)*(L$8-5)/5))</f>
      </c>
      <c r="M42" s="58">
        <f>L42*(1+IF(M$8&lt;=5,$E42,$E42+(TGR-$E42)*(M$8-5)/5))</f>
      </c>
      <c r="N42" s="58">
        <f>M42*(1+IF(N$8&lt;=5,$E42,$E42+(TGR-$E42)*(N$8-5)/5))</f>
      </c>
      <c r="O42" s="58">
        <f>N42*(1+IF(O$8&lt;=5,$E42,$E42+(TGR-$E42)*(O$8-5)/5))</f>
      </c>
      <c r="P42" s="58">
        <f>O42*(1+IF(P$8&lt;=5,$E42,$E42+(TGR-$E42)*(P$8-5)/5))</f>
      </c>
      <c r="Q42" s="58">
        <f>P42*(1+IF(Q$8&lt;=5,$E42,$E42+(TGR-$E42)*(Q$8-5)/5))</f>
      </c>
      <c r="R42" s="58">
        <f>Q42*(1+IF(R$8&lt;=5,$E42,$E42+(TGR-$E42)*(R$8-5)/5))</f>
      </c>
      <c r="S42" s="58">
        <f>R42*(1+IF(S$8&lt;=5,$E42,$E42+(TGR-$E42)*(S$8-5)/5))</f>
      </c>
      <c r="T42" s="58">
        <f>INDEX($J42:$S42,1,Forecast_Years)</f>
      </c>
      <c r="U42" s="58">
        <f>INDEX($I42:$S42,1,Forecast_Years)</f>
      </c>
      <c r="V42" s="43">
        <f>Build_Flag*Base_Revenue*(T42*INDEX($J$11:$S$11,1,Forecast_Years)-NWC_Pct*(T42-U42))+(1-Build_Flag)*Base_FCF*T42</f>
      </c>
      <c r="W42" s="43">
        <f>SUMPRODUCT($J$9:$S$9,$J$10:$S$10,Build_Flag*Base_Revenue*($J42:$S42*$J$11:$S$11-NWC_Pct*($J42:$S42-$I42:$R42))+(1-Build_Flag)*Base_FCF*$J42:$S42)</f>
      </c>
      <c r="X42" s="43">
        <f>IF(Exit_Flag=1,Base_Revenue*T42*INDEX($J$12:$S$12,1,Forecast_Years)*Exit_Multiple/(1+WACC)^Forecast_Years,IF(TGR&lt;WACC,V42*(1+TGR)/(WACC-TGR)/(1+WACC)^(Forecast_Years-Mid_Year),0))</f>
      </c>
    </row>
    <row r="43" hidden="1" spans="2:24" x14ac:dyDescent="0.25" outlineLevel="1" collapsed="1">
      <c r="B43" s="25">
        <f>B42+1</f>
      </c>
      <c r="C43" s="41">
        <f>IF(F42&lt;Share_Price,E42,C42)</f>
      </c>
      <c r="D43" s="41">
        <f>IF(F42&lt;Share_Price,D42,E42)</f>
      </c>
      <c r="E43" s="41">
        <f>(C43+D43)/2</f>
      </c>
      <c r="F43" s="65">
        <f>IF(Inputs_OK=1,(W43+X43+Net_Bridge)/Shares,0)</f>
      </c>
      <c r="G43" s="65">
        <f>F43-Share_Price</f>
      </c>
      <c r="I43" s="58">
        <f>1</f>
      </c>
      <c r="J43" s="58">
        <f>I43*(1+IF(J$8&lt;=5,$E43,$E43+(TGR-$E43)*(J$8-5)/5))</f>
      </c>
      <c r="K43" s="58">
        <f>J43*(1+IF(K$8&lt;=5,$E43,$E43+(TGR-$E43)*(K$8-5)/5))</f>
      </c>
      <c r="L43" s="58">
        <f>K43*(1+IF(L$8&lt;=5,$E43,$E43+(TGR-$E43)*(L$8-5)/5))</f>
      </c>
      <c r="M43" s="58">
        <f>L43*(1+IF(M$8&lt;=5,$E43,$E43+(TGR-$E43)*(M$8-5)/5))</f>
      </c>
      <c r="N43" s="58">
        <f>M43*(1+IF(N$8&lt;=5,$E43,$E43+(TGR-$E43)*(N$8-5)/5))</f>
      </c>
      <c r="O43" s="58">
        <f>N43*(1+IF(O$8&lt;=5,$E43,$E43+(TGR-$E43)*(O$8-5)/5))</f>
      </c>
      <c r="P43" s="58">
        <f>O43*(1+IF(P$8&lt;=5,$E43,$E43+(TGR-$E43)*(P$8-5)/5))</f>
      </c>
      <c r="Q43" s="58">
        <f>P43*(1+IF(Q$8&lt;=5,$E43,$E43+(TGR-$E43)*(Q$8-5)/5))</f>
      </c>
      <c r="R43" s="58">
        <f>Q43*(1+IF(R$8&lt;=5,$E43,$E43+(TGR-$E43)*(R$8-5)/5))</f>
      </c>
      <c r="S43" s="58">
        <f>R43*(1+IF(S$8&lt;=5,$E43,$E43+(TGR-$E43)*(S$8-5)/5))</f>
      </c>
      <c r="T43" s="58">
        <f>INDEX($J43:$S43,1,Forecast_Years)</f>
      </c>
      <c r="U43" s="58">
        <f>INDEX($I43:$S43,1,Forecast_Years)</f>
      </c>
      <c r="V43" s="43">
        <f>Build_Flag*Base_Revenue*(T43*INDEX($J$11:$S$11,1,Forecast_Years)-NWC_Pct*(T43-U43))+(1-Build_Flag)*Base_FCF*T43</f>
      </c>
      <c r="W43" s="43">
        <f>SUMPRODUCT($J$9:$S$9,$J$10:$S$10,Build_Flag*Base_Revenue*($J43:$S43*$J$11:$S$11-NWC_Pct*($J43:$S43-$I43:$R43))+(1-Build_Flag)*Base_FCF*$J43:$S43)</f>
      </c>
      <c r="X43" s="43">
        <f>IF(Exit_Flag=1,Base_Revenue*T43*INDEX($J$12:$S$12,1,Forecast_Years)*Exit_Multiple/(1+WACC)^Forecast_Years,IF(TGR&lt;WACC,V43*(1+TGR)/(WACC-TGR)/(1+WACC)^(Forecast_Years-Mid_Year),0))</f>
      </c>
    </row>
    <row r="44" hidden="1" spans="2:24" x14ac:dyDescent="0.25" outlineLevel="1" collapsed="1">
      <c r="B44" s="25">
        <f>B43+1</f>
      </c>
      <c r="C44" s="41">
        <f>IF(F43&lt;Share_Price,E43,C43)</f>
      </c>
      <c r="D44" s="41">
        <f>IF(F43&lt;Share_Price,D43,E43)</f>
      </c>
      <c r="E44" s="41">
        <f>(C44+D44)/2</f>
      </c>
      <c r="F44" s="65">
        <f>IF(Inputs_OK=1,(W44+X44+Net_Bridge)/Shares,0)</f>
      </c>
      <c r="G44" s="65">
        <f>F44-Share_Price</f>
      </c>
      <c r="I44" s="58">
        <f>1</f>
      </c>
      <c r="J44" s="58">
        <f>I44*(1+IF(J$8&lt;=5,$E44,$E44+(TGR-$E44)*(J$8-5)/5))</f>
      </c>
      <c r="K44" s="58">
        <f>J44*(1+IF(K$8&lt;=5,$E44,$E44+(TGR-$E44)*(K$8-5)/5))</f>
      </c>
      <c r="L44" s="58">
        <f>K44*(1+IF(L$8&lt;=5,$E44,$E44+(TGR-$E44)*(L$8-5)/5))</f>
      </c>
      <c r="M44" s="58">
        <f>L44*(1+IF(M$8&lt;=5,$E44,$E44+(TGR-$E44)*(M$8-5)/5))</f>
      </c>
      <c r="N44" s="58">
        <f>M44*(1+IF(N$8&lt;=5,$E44,$E44+(TGR-$E44)*(N$8-5)/5))</f>
      </c>
      <c r="O44" s="58">
        <f>N44*(1+IF(O$8&lt;=5,$E44,$E44+(TGR-$E44)*(O$8-5)/5))</f>
      </c>
      <c r="P44" s="58">
        <f>O44*(1+IF(P$8&lt;=5,$E44,$E44+(TGR-$E44)*(P$8-5)/5))</f>
      </c>
      <c r="Q44" s="58">
        <f>P44*(1+IF(Q$8&lt;=5,$E44,$E44+(TGR-$E44)*(Q$8-5)/5))</f>
      </c>
      <c r="R44" s="58">
        <f>Q44*(1+IF(R$8&lt;=5,$E44,$E44+(TGR-$E44)*(R$8-5)/5))</f>
      </c>
      <c r="S44" s="58">
        <f>R44*(1+IF(S$8&lt;=5,$E44,$E44+(TGR-$E44)*(S$8-5)/5))</f>
      </c>
      <c r="T44" s="58">
        <f>INDEX($J44:$S44,1,Forecast_Years)</f>
      </c>
      <c r="U44" s="58">
        <f>INDEX($I44:$S44,1,Forecast_Years)</f>
      </c>
      <c r="V44" s="43">
        <f>Build_Flag*Base_Revenue*(T44*INDEX($J$11:$S$11,1,Forecast_Years)-NWC_Pct*(T44-U44))+(1-Build_Flag)*Base_FCF*T44</f>
      </c>
      <c r="W44" s="43">
        <f>SUMPRODUCT($J$9:$S$9,$J$10:$S$10,Build_Flag*Base_Revenue*($J44:$S44*$J$11:$S$11-NWC_Pct*($J44:$S44-$I44:$R44))+(1-Build_Flag)*Base_FCF*$J44:$S44)</f>
      </c>
      <c r="X44" s="43">
        <f>IF(Exit_Flag=1,Base_Revenue*T44*INDEX($J$12:$S$12,1,Forecast_Years)*Exit_Multiple/(1+WACC)^Forecast_Years,IF(TGR&lt;WACC,V44*(1+TGR)/(WACC-TGR)/(1+WACC)^(Forecast_Years-Mid_Year),0))</f>
      </c>
    </row>
    <row r="45" hidden="1" spans="2:24" x14ac:dyDescent="0.25" outlineLevel="1" collapsed="1">
      <c r="B45" s="25">
        <f>B44+1</f>
      </c>
      <c r="C45" s="41">
        <f>IF(F44&lt;Share_Price,E44,C44)</f>
      </c>
      <c r="D45" s="41">
        <f>IF(F44&lt;Share_Price,D44,E44)</f>
      </c>
      <c r="E45" s="41">
        <f>(C45+D45)/2</f>
      </c>
      <c r="F45" s="65">
        <f>IF(Inputs_OK=1,(W45+X45+Net_Bridge)/Shares,0)</f>
      </c>
      <c r="G45" s="65">
        <f>F45-Share_Price</f>
      </c>
      <c r="I45" s="58">
        <f>1</f>
      </c>
      <c r="J45" s="58">
        <f>I45*(1+IF(J$8&lt;=5,$E45,$E45+(TGR-$E45)*(J$8-5)/5))</f>
      </c>
      <c r="K45" s="58">
        <f>J45*(1+IF(K$8&lt;=5,$E45,$E45+(TGR-$E45)*(K$8-5)/5))</f>
      </c>
      <c r="L45" s="58">
        <f>K45*(1+IF(L$8&lt;=5,$E45,$E45+(TGR-$E45)*(L$8-5)/5))</f>
      </c>
      <c r="M45" s="58">
        <f>L45*(1+IF(M$8&lt;=5,$E45,$E45+(TGR-$E45)*(M$8-5)/5))</f>
      </c>
      <c r="N45" s="58">
        <f>M45*(1+IF(N$8&lt;=5,$E45,$E45+(TGR-$E45)*(N$8-5)/5))</f>
      </c>
      <c r="O45" s="58">
        <f>N45*(1+IF(O$8&lt;=5,$E45,$E45+(TGR-$E45)*(O$8-5)/5))</f>
      </c>
      <c r="P45" s="58">
        <f>O45*(1+IF(P$8&lt;=5,$E45,$E45+(TGR-$E45)*(P$8-5)/5))</f>
      </c>
      <c r="Q45" s="58">
        <f>P45*(1+IF(Q$8&lt;=5,$E45,$E45+(TGR-$E45)*(Q$8-5)/5))</f>
      </c>
      <c r="R45" s="58">
        <f>Q45*(1+IF(R$8&lt;=5,$E45,$E45+(TGR-$E45)*(R$8-5)/5))</f>
      </c>
      <c r="S45" s="58">
        <f>R45*(1+IF(S$8&lt;=5,$E45,$E45+(TGR-$E45)*(S$8-5)/5))</f>
      </c>
      <c r="T45" s="58">
        <f>INDEX($J45:$S45,1,Forecast_Years)</f>
      </c>
      <c r="U45" s="58">
        <f>INDEX($I45:$S45,1,Forecast_Years)</f>
      </c>
      <c r="V45" s="43">
        <f>Build_Flag*Base_Revenue*(T45*INDEX($J$11:$S$11,1,Forecast_Years)-NWC_Pct*(T45-U45))+(1-Build_Flag)*Base_FCF*T45</f>
      </c>
      <c r="W45" s="43">
        <f>SUMPRODUCT($J$9:$S$9,$J$10:$S$10,Build_Flag*Base_Revenue*($J45:$S45*$J$11:$S$11-NWC_Pct*($J45:$S45-$I45:$R45))+(1-Build_Flag)*Base_FCF*$J45:$S45)</f>
      </c>
      <c r="X45" s="43">
        <f>IF(Exit_Flag=1,Base_Revenue*T45*INDEX($J$12:$S$12,1,Forecast_Years)*Exit_Multiple/(1+WACC)^Forecast_Years,IF(TGR&lt;WACC,V45*(1+TGR)/(WACC-TGR)/(1+WACC)^(Forecast_Years-Mid_Year),0))</f>
      </c>
    </row>
    <row r="46" hidden="1" spans="2:24" x14ac:dyDescent="0.25" outlineLevel="1" collapsed="1">
      <c r="B46" s="25">
        <f>B45+1</f>
      </c>
      <c r="C46" s="41">
        <f>IF(F45&lt;Share_Price,E45,C45)</f>
      </c>
      <c r="D46" s="41">
        <f>IF(F45&lt;Share_Price,D45,E45)</f>
      </c>
      <c r="E46" s="41">
        <f>(C46+D46)/2</f>
      </c>
      <c r="F46" s="65">
        <f>IF(Inputs_OK=1,(W46+X46+Net_Bridge)/Shares,0)</f>
      </c>
      <c r="G46" s="65">
        <f>F46-Share_Price</f>
      </c>
      <c r="I46" s="58">
        <f>1</f>
      </c>
      <c r="J46" s="58">
        <f>I46*(1+IF(J$8&lt;=5,$E46,$E46+(TGR-$E46)*(J$8-5)/5))</f>
      </c>
      <c r="K46" s="58">
        <f>J46*(1+IF(K$8&lt;=5,$E46,$E46+(TGR-$E46)*(K$8-5)/5))</f>
      </c>
      <c r="L46" s="58">
        <f>K46*(1+IF(L$8&lt;=5,$E46,$E46+(TGR-$E46)*(L$8-5)/5))</f>
      </c>
      <c r="M46" s="58">
        <f>L46*(1+IF(M$8&lt;=5,$E46,$E46+(TGR-$E46)*(M$8-5)/5))</f>
      </c>
      <c r="N46" s="58">
        <f>M46*(1+IF(N$8&lt;=5,$E46,$E46+(TGR-$E46)*(N$8-5)/5))</f>
      </c>
      <c r="O46" s="58">
        <f>N46*(1+IF(O$8&lt;=5,$E46,$E46+(TGR-$E46)*(O$8-5)/5))</f>
      </c>
      <c r="P46" s="58">
        <f>O46*(1+IF(P$8&lt;=5,$E46,$E46+(TGR-$E46)*(P$8-5)/5))</f>
      </c>
      <c r="Q46" s="58">
        <f>P46*(1+IF(Q$8&lt;=5,$E46,$E46+(TGR-$E46)*(Q$8-5)/5))</f>
      </c>
      <c r="R46" s="58">
        <f>Q46*(1+IF(R$8&lt;=5,$E46,$E46+(TGR-$E46)*(R$8-5)/5))</f>
      </c>
      <c r="S46" s="58">
        <f>R46*(1+IF(S$8&lt;=5,$E46,$E46+(TGR-$E46)*(S$8-5)/5))</f>
      </c>
      <c r="T46" s="58">
        <f>INDEX($J46:$S46,1,Forecast_Years)</f>
      </c>
      <c r="U46" s="58">
        <f>INDEX($I46:$S46,1,Forecast_Years)</f>
      </c>
      <c r="V46" s="43">
        <f>Build_Flag*Base_Revenue*(T46*INDEX($J$11:$S$11,1,Forecast_Years)-NWC_Pct*(T46-U46))+(1-Build_Flag)*Base_FCF*T46</f>
      </c>
      <c r="W46" s="43">
        <f>SUMPRODUCT($J$9:$S$9,$J$10:$S$10,Build_Flag*Base_Revenue*($J46:$S46*$J$11:$S$11-NWC_Pct*($J46:$S46-$I46:$R46))+(1-Build_Flag)*Base_FCF*$J46:$S46)</f>
      </c>
      <c r="X46" s="43">
        <f>IF(Exit_Flag=1,Base_Revenue*T46*INDEX($J$12:$S$12,1,Forecast_Years)*Exit_Multiple/(1+WACC)^Forecast_Years,IF(TGR&lt;WACC,V46*(1+TGR)/(WACC-TGR)/(1+WACC)^(Forecast_Years-Mid_Year),0))</f>
      </c>
    </row>
    <row r="47" hidden="1" spans="2:24" x14ac:dyDescent="0.25" outlineLevel="1" collapsed="1">
      <c r="B47" s="25">
        <f>B46+1</f>
      </c>
      <c r="C47" s="41">
        <f>IF(F46&lt;Share_Price,E46,C46)</f>
      </c>
      <c r="D47" s="41">
        <f>IF(F46&lt;Share_Price,D46,E46)</f>
      </c>
      <c r="E47" s="41">
        <f>(C47+D47)/2</f>
      </c>
      <c r="F47" s="65">
        <f>IF(Inputs_OK=1,(W47+X47+Net_Bridge)/Shares,0)</f>
      </c>
      <c r="G47" s="65">
        <f>F47-Share_Price</f>
      </c>
      <c r="I47" s="58">
        <f>1</f>
      </c>
      <c r="J47" s="58">
        <f>I47*(1+IF(J$8&lt;=5,$E47,$E47+(TGR-$E47)*(J$8-5)/5))</f>
      </c>
      <c r="K47" s="58">
        <f>J47*(1+IF(K$8&lt;=5,$E47,$E47+(TGR-$E47)*(K$8-5)/5))</f>
      </c>
      <c r="L47" s="58">
        <f>K47*(1+IF(L$8&lt;=5,$E47,$E47+(TGR-$E47)*(L$8-5)/5))</f>
      </c>
      <c r="M47" s="58">
        <f>L47*(1+IF(M$8&lt;=5,$E47,$E47+(TGR-$E47)*(M$8-5)/5))</f>
      </c>
      <c r="N47" s="58">
        <f>M47*(1+IF(N$8&lt;=5,$E47,$E47+(TGR-$E47)*(N$8-5)/5))</f>
      </c>
      <c r="O47" s="58">
        <f>N47*(1+IF(O$8&lt;=5,$E47,$E47+(TGR-$E47)*(O$8-5)/5))</f>
      </c>
      <c r="P47" s="58">
        <f>O47*(1+IF(P$8&lt;=5,$E47,$E47+(TGR-$E47)*(P$8-5)/5))</f>
      </c>
      <c r="Q47" s="58">
        <f>P47*(1+IF(Q$8&lt;=5,$E47,$E47+(TGR-$E47)*(Q$8-5)/5))</f>
      </c>
      <c r="R47" s="58">
        <f>Q47*(1+IF(R$8&lt;=5,$E47,$E47+(TGR-$E47)*(R$8-5)/5))</f>
      </c>
      <c r="S47" s="58">
        <f>R47*(1+IF(S$8&lt;=5,$E47,$E47+(TGR-$E47)*(S$8-5)/5))</f>
      </c>
      <c r="T47" s="58">
        <f>INDEX($J47:$S47,1,Forecast_Years)</f>
      </c>
      <c r="U47" s="58">
        <f>INDEX($I47:$S47,1,Forecast_Years)</f>
      </c>
      <c r="V47" s="43">
        <f>Build_Flag*Base_Revenue*(T47*INDEX($J$11:$S$11,1,Forecast_Years)-NWC_Pct*(T47-U47))+(1-Build_Flag)*Base_FCF*T47</f>
      </c>
      <c r="W47" s="43">
        <f>SUMPRODUCT($J$9:$S$9,$J$10:$S$10,Build_Flag*Base_Revenue*($J47:$S47*$J$11:$S$11-NWC_Pct*($J47:$S47-$I47:$R47))+(1-Build_Flag)*Base_FCF*$J47:$S47)</f>
      </c>
      <c r="X47" s="43">
        <f>IF(Exit_Flag=1,Base_Revenue*T47*INDEX($J$12:$S$12,1,Forecast_Years)*Exit_Multiple/(1+WACC)^Forecast_Years,IF(TGR&lt;WACC,V47*(1+TGR)/(WACC-TGR)/(1+WACC)^(Forecast_Years-Mid_Year),0))</f>
      </c>
    </row>
    <row r="48" hidden="1" spans="2:24" x14ac:dyDescent="0.25" outlineLevel="1" collapsed="1">
      <c r="B48" s="25">
        <f>B47+1</f>
      </c>
      <c r="C48" s="41">
        <f>IF(F47&lt;Share_Price,E47,C47)</f>
      </c>
      <c r="D48" s="41">
        <f>IF(F47&lt;Share_Price,D47,E47)</f>
      </c>
      <c r="E48" s="41">
        <f>(C48+D48)/2</f>
      </c>
      <c r="F48" s="65">
        <f>IF(Inputs_OK=1,(W48+X48+Net_Bridge)/Shares,0)</f>
      </c>
      <c r="G48" s="65">
        <f>F48-Share_Price</f>
      </c>
      <c r="I48" s="58">
        <f>1</f>
      </c>
      <c r="J48" s="58">
        <f>I48*(1+IF(J$8&lt;=5,$E48,$E48+(TGR-$E48)*(J$8-5)/5))</f>
      </c>
      <c r="K48" s="58">
        <f>J48*(1+IF(K$8&lt;=5,$E48,$E48+(TGR-$E48)*(K$8-5)/5))</f>
      </c>
      <c r="L48" s="58">
        <f>K48*(1+IF(L$8&lt;=5,$E48,$E48+(TGR-$E48)*(L$8-5)/5))</f>
      </c>
      <c r="M48" s="58">
        <f>L48*(1+IF(M$8&lt;=5,$E48,$E48+(TGR-$E48)*(M$8-5)/5))</f>
      </c>
      <c r="N48" s="58">
        <f>M48*(1+IF(N$8&lt;=5,$E48,$E48+(TGR-$E48)*(N$8-5)/5))</f>
      </c>
      <c r="O48" s="58">
        <f>N48*(1+IF(O$8&lt;=5,$E48,$E48+(TGR-$E48)*(O$8-5)/5))</f>
      </c>
      <c r="P48" s="58">
        <f>O48*(1+IF(P$8&lt;=5,$E48,$E48+(TGR-$E48)*(P$8-5)/5))</f>
      </c>
      <c r="Q48" s="58">
        <f>P48*(1+IF(Q$8&lt;=5,$E48,$E48+(TGR-$E48)*(Q$8-5)/5))</f>
      </c>
      <c r="R48" s="58">
        <f>Q48*(1+IF(R$8&lt;=5,$E48,$E48+(TGR-$E48)*(R$8-5)/5))</f>
      </c>
      <c r="S48" s="58">
        <f>R48*(1+IF(S$8&lt;=5,$E48,$E48+(TGR-$E48)*(S$8-5)/5))</f>
      </c>
      <c r="T48" s="58">
        <f>INDEX($J48:$S48,1,Forecast_Years)</f>
      </c>
      <c r="U48" s="58">
        <f>INDEX($I48:$S48,1,Forecast_Years)</f>
      </c>
      <c r="V48" s="43">
        <f>Build_Flag*Base_Revenue*(T48*INDEX($J$11:$S$11,1,Forecast_Years)-NWC_Pct*(T48-U48))+(1-Build_Flag)*Base_FCF*T48</f>
      </c>
      <c r="W48" s="43">
        <f>SUMPRODUCT($J$9:$S$9,$J$10:$S$10,Build_Flag*Base_Revenue*($J48:$S48*$J$11:$S$11-NWC_Pct*($J48:$S48-$I48:$R48))+(1-Build_Flag)*Base_FCF*$J48:$S48)</f>
      </c>
      <c r="X48" s="43">
        <f>IF(Exit_Flag=1,Base_Revenue*T48*INDEX($J$12:$S$12,1,Forecast_Years)*Exit_Multiple/(1+WACC)^Forecast_Years,IF(TGR&lt;WACC,V48*(1+TGR)/(WACC-TGR)/(1+WACC)^(Forecast_Years-Mid_Year),0))</f>
      </c>
    </row>
    <row r="49" hidden="1" spans="2:24" x14ac:dyDescent="0.25" outlineLevel="1" collapsed="1">
      <c r="B49" s="25">
        <f>B48+1</f>
      </c>
      <c r="C49" s="41">
        <f>IF(F48&lt;Share_Price,E48,C48)</f>
      </c>
      <c r="D49" s="41">
        <f>IF(F48&lt;Share_Price,D48,E48)</f>
      </c>
      <c r="E49" s="41">
        <f>(C49+D49)/2</f>
      </c>
      <c r="F49" s="65">
        <f>IF(Inputs_OK=1,(W49+X49+Net_Bridge)/Shares,0)</f>
      </c>
      <c r="G49" s="65">
        <f>F49-Share_Price</f>
      </c>
      <c r="I49" s="58">
        <f>1</f>
      </c>
      <c r="J49" s="58">
        <f>I49*(1+IF(J$8&lt;=5,$E49,$E49+(TGR-$E49)*(J$8-5)/5))</f>
      </c>
      <c r="K49" s="58">
        <f>J49*(1+IF(K$8&lt;=5,$E49,$E49+(TGR-$E49)*(K$8-5)/5))</f>
      </c>
      <c r="L49" s="58">
        <f>K49*(1+IF(L$8&lt;=5,$E49,$E49+(TGR-$E49)*(L$8-5)/5))</f>
      </c>
      <c r="M49" s="58">
        <f>L49*(1+IF(M$8&lt;=5,$E49,$E49+(TGR-$E49)*(M$8-5)/5))</f>
      </c>
      <c r="N49" s="58">
        <f>M49*(1+IF(N$8&lt;=5,$E49,$E49+(TGR-$E49)*(N$8-5)/5))</f>
      </c>
      <c r="O49" s="58">
        <f>N49*(1+IF(O$8&lt;=5,$E49,$E49+(TGR-$E49)*(O$8-5)/5))</f>
      </c>
      <c r="P49" s="58">
        <f>O49*(1+IF(P$8&lt;=5,$E49,$E49+(TGR-$E49)*(P$8-5)/5))</f>
      </c>
      <c r="Q49" s="58">
        <f>P49*(1+IF(Q$8&lt;=5,$E49,$E49+(TGR-$E49)*(Q$8-5)/5))</f>
      </c>
      <c r="R49" s="58">
        <f>Q49*(1+IF(R$8&lt;=5,$E49,$E49+(TGR-$E49)*(R$8-5)/5))</f>
      </c>
      <c r="S49" s="58">
        <f>R49*(1+IF(S$8&lt;=5,$E49,$E49+(TGR-$E49)*(S$8-5)/5))</f>
      </c>
      <c r="T49" s="58">
        <f>INDEX($J49:$S49,1,Forecast_Years)</f>
      </c>
      <c r="U49" s="58">
        <f>INDEX($I49:$S49,1,Forecast_Years)</f>
      </c>
      <c r="V49" s="43">
        <f>Build_Flag*Base_Revenue*(T49*INDEX($J$11:$S$11,1,Forecast_Years)-NWC_Pct*(T49-U49))+(1-Build_Flag)*Base_FCF*T49</f>
      </c>
      <c r="W49" s="43">
        <f>SUMPRODUCT($J$9:$S$9,$J$10:$S$10,Build_Flag*Base_Revenue*($J49:$S49*$J$11:$S$11-NWC_Pct*($J49:$S49-$I49:$R49))+(1-Build_Flag)*Base_FCF*$J49:$S49)</f>
      </c>
      <c r="X49" s="43">
        <f>IF(Exit_Flag=1,Base_Revenue*T49*INDEX($J$12:$S$12,1,Forecast_Years)*Exit_Multiple/(1+WACC)^Forecast_Years,IF(TGR&lt;WACC,V49*(1+TGR)/(WACC-TGR)/(1+WACC)^(Forecast_Years-Mid_Year),0))</f>
      </c>
    </row>
    <row r="50" hidden="1" spans="2:24" x14ac:dyDescent="0.25" outlineLevel="1" collapsed="1">
      <c r="B50" s="25">
        <f>B49+1</f>
      </c>
      <c r="C50" s="41">
        <f>IF(F49&lt;Share_Price,E49,C49)</f>
      </c>
      <c r="D50" s="41">
        <f>IF(F49&lt;Share_Price,D49,E49)</f>
      </c>
      <c r="E50" s="41">
        <f>(C50+D50)/2</f>
      </c>
      <c r="F50" s="65">
        <f>IF(Inputs_OK=1,(W50+X50+Net_Bridge)/Shares,0)</f>
      </c>
      <c r="G50" s="65">
        <f>F50-Share_Price</f>
      </c>
      <c r="I50" s="58">
        <f>1</f>
      </c>
      <c r="J50" s="58">
        <f>I50*(1+IF(J$8&lt;=5,$E50,$E50+(TGR-$E50)*(J$8-5)/5))</f>
      </c>
      <c r="K50" s="58">
        <f>J50*(1+IF(K$8&lt;=5,$E50,$E50+(TGR-$E50)*(K$8-5)/5))</f>
      </c>
      <c r="L50" s="58">
        <f>K50*(1+IF(L$8&lt;=5,$E50,$E50+(TGR-$E50)*(L$8-5)/5))</f>
      </c>
      <c r="M50" s="58">
        <f>L50*(1+IF(M$8&lt;=5,$E50,$E50+(TGR-$E50)*(M$8-5)/5))</f>
      </c>
      <c r="N50" s="58">
        <f>M50*(1+IF(N$8&lt;=5,$E50,$E50+(TGR-$E50)*(N$8-5)/5))</f>
      </c>
      <c r="O50" s="58">
        <f>N50*(1+IF(O$8&lt;=5,$E50,$E50+(TGR-$E50)*(O$8-5)/5))</f>
      </c>
      <c r="P50" s="58">
        <f>O50*(1+IF(P$8&lt;=5,$E50,$E50+(TGR-$E50)*(P$8-5)/5))</f>
      </c>
      <c r="Q50" s="58">
        <f>P50*(1+IF(Q$8&lt;=5,$E50,$E50+(TGR-$E50)*(Q$8-5)/5))</f>
      </c>
      <c r="R50" s="58">
        <f>Q50*(1+IF(R$8&lt;=5,$E50,$E50+(TGR-$E50)*(R$8-5)/5))</f>
      </c>
      <c r="S50" s="58">
        <f>R50*(1+IF(S$8&lt;=5,$E50,$E50+(TGR-$E50)*(S$8-5)/5))</f>
      </c>
      <c r="T50" s="58">
        <f>INDEX($J50:$S50,1,Forecast_Years)</f>
      </c>
      <c r="U50" s="58">
        <f>INDEX($I50:$S50,1,Forecast_Years)</f>
      </c>
      <c r="V50" s="43">
        <f>Build_Flag*Base_Revenue*(T50*INDEX($J$11:$S$11,1,Forecast_Years)-NWC_Pct*(T50-U50))+(1-Build_Flag)*Base_FCF*T50</f>
      </c>
      <c r="W50" s="43">
        <f>SUMPRODUCT($J$9:$S$9,$J$10:$S$10,Build_Flag*Base_Revenue*($J50:$S50*$J$11:$S$11-NWC_Pct*($J50:$S50-$I50:$R50))+(1-Build_Flag)*Base_FCF*$J50:$S50)</f>
      </c>
      <c r="X50" s="43">
        <f>IF(Exit_Flag=1,Base_Revenue*T50*INDEX($J$12:$S$12,1,Forecast_Years)*Exit_Multiple/(1+WACC)^Forecast_Years,IF(TGR&lt;WACC,V50*(1+TGR)/(WACC-TGR)/(1+WACC)^(Forecast_Years-Mid_Year),0))</f>
      </c>
    </row>
    <row r="51" hidden="1" spans="2:24" x14ac:dyDescent="0.25" outlineLevel="1" collapsed="1">
      <c r="B51" s="25">
        <f>B50+1</f>
      </c>
      <c r="C51" s="41">
        <f>IF(F50&lt;Share_Price,E50,C50)</f>
      </c>
      <c r="D51" s="41">
        <f>IF(F50&lt;Share_Price,D50,E50)</f>
      </c>
      <c r="E51" s="41">
        <f>(C51+D51)/2</f>
      </c>
      <c r="F51" s="65">
        <f>IF(Inputs_OK=1,(W51+X51+Net_Bridge)/Shares,0)</f>
      </c>
      <c r="G51" s="65">
        <f>F51-Share_Price</f>
      </c>
      <c r="I51" s="58">
        <f>1</f>
      </c>
      <c r="J51" s="58">
        <f>I51*(1+IF(J$8&lt;=5,$E51,$E51+(TGR-$E51)*(J$8-5)/5))</f>
      </c>
      <c r="K51" s="58">
        <f>J51*(1+IF(K$8&lt;=5,$E51,$E51+(TGR-$E51)*(K$8-5)/5))</f>
      </c>
      <c r="L51" s="58">
        <f>K51*(1+IF(L$8&lt;=5,$E51,$E51+(TGR-$E51)*(L$8-5)/5))</f>
      </c>
      <c r="M51" s="58">
        <f>L51*(1+IF(M$8&lt;=5,$E51,$E51+(TGR-$E51)*(M$8-5)/5))</f>
      </c>
      <c r="N51" s="58">
        <f>M51*(1+IF(N$8&lt;=5,$E51,$E51+(TGR-$E51)*(N$8-5)/5))</f>
      </c>
      <c r="O51" s="58">
        <f>N51*(1+IF(O$8&lt;=5,$E51,$E51+(TGR-$E51)*(O$8-5)/5))</f>
      </c>
      <c r="P51" s="58">
        <f>O51*(1+IF(P$8&lt;=5,$E51,$E51+(TGR-$E51)*(P$8-5)/5))</f>
      </c>
      <c r="Q51" s="58">
        <f>P51*(1+IF(Q$8&lt;=5,$E51,$E51+(TGR-$E51)*(Q$8-5)/5))</f>
      </c>
      <c r="R51" s="58">
        <f>Q51*(1+IF(R$8&lt;=5,$E51,$E51+(TGR-$E51)*(R$8-5)/5))</f>
      </c>
      <c r="S51" s="58">
        <f>R51*(1+IF(S$8&lt;=5,$E51,$E51+(TGR-$E51)*(S$8-5)/5))</f>
      </c>
      <c r="T51" s="58">
        <f>INDEX($J51:$S51,1,Forecast_Years)</f>
      </c>
      <c r="U51" s="58">
        <f>INDEX($I51:$S51,1,Forecast_Years)</f>
      </c>
      <c r="V51" s="43">
        <f>Build_Flag*Base_Revenue*(T51*INDEX($J$11:$S$11,1,Forecast_Years)-NWC_Pct*(T51-U51))+(1-Build_Flag)*Base_FCF*T51</f>
      </c>
      <c r="W51" s="43">
        <f>SUMPRODUCT($J$9:$S$9,$J$10:$S$10,Build_Flag*Base_Revenue*($J51:$S51*$J$11:$S$11-NWC_Pct*($J51:$S51-$I51:$R51))+(1-Build_Flag)*Base_FCF*$J51:$S51)</f>
      </c>
      <c r="X51" s="43">
        <f>IF(Exit_Flag=1,Base_Revenue*T51*INDEX($J$12:$S$12,1,Forecast_Years)*Exit_Multiple/(1+WACC)^Forecast_Years,IF(TGR&lt;WACC,V51*(1+TGR)/(WACC-TGR)/(1+WACC)^(Forecast_Years-Mid_Year),0))</f>
      </c>
    </row>
    <row r="52" hidden="1" spans="2:24" x14ac:dyDescent="0.25" outlineLevel="1" collapsed="1">
      <c r="B52" s="25">
        <f>B51+1</f>
      </c>
      <c r="C52" s="41">
        <f>IF(F51&lt;Share_Price,E51,C51)</f>
      </c>
      <c r="D52" s="41">
        <f>IF(F51&lt;Share_Price,D51,E51)</f>
      </c>
      <c r="E52" s="41">
        <f>(C52+D52)/2</f>
      </c>
      <c r="F52" s="65">
        <f>IF(Inputs_OK=1,(W52+X52+Net_Bridge)/Shares,0)</f>
      </c>
      <c r="G52" s="65">
        <f>F52-Share_Price</f>
      </c>
      <c r="I52" s="58">
        <f>1</f>
      </c>
      <c r="J52" s="58">
        <f>I52*(1+IF(J$8&lt;=5,$E52,$E52+(TGR-$E52)*(J$8-5)/5))</f>
      </c>
      <c r="K52" s="58">
        <f>J52*(1+IF(K$8&lt;=5,$E52,$E52+(TGR-$E52)*(K$8-5)/5))</f>
      </c>
      <c r="L52" s="58">
        <f>K52*(1+IF(L$8&lt;=5,$E52,$E52+(TGR-$E52)*(L$8-5)/5))</f>
      </c>
      <c r="M52" s="58">
        <f>L52*(1+IF(M$8&lt;=5,$E52,$E52+(TGR-$E52)*(M$8-5)/5))</f>
      </c>
      <c r="N52" s="58">
        <f>M52*(1+IF(N$8&lt;=5,$E52,$E52+(TGR-$E52)*(N$8-5)/5))</f>
      </c>
      <c r="O52" s="58">
        <f>N52*(1+IF(O$8&lt;=5,$E52,$E52+(TGR-$E52)*(O$8-5)/5))</f>
      </c>
      <c r="P52" s="58">
        <f>O52*(1+IF(P$8&lt;=5,$E52,$E52+(TGR-$E52)*(P$8-5)/5))</f>
      </c>
      <c r="Q52" s="58">
        <f>P52*(1+IF(Q$8&lt;=5,$E52,$E52+(TGR-$E52)*(Q$8-5)/5))</f>
      </c>
      <c r="R52" s="58">
        <f>Q52*(1+IF(R$8&lt;=5,$E52,$E52+(TGR-$E52)*(R$8-5)/5))</f>
      </c>
      <c r="S52" s="58">
        <f>R52*(1+IF(S$8&lt;=5,$E52,$E52+(TGR-$E52)*(S$8-5)/5))</f>
      </c>
      <c r="T52" s="58">
        <f>INDEX($J52:$S52,1,Forecast_Years)</f>
      </c>
      <c r="U52" s="58">
        <f>INDEX($I52:$S52,1,Forecast_Years)</f>
      </c>
      <c r="V52" s="43">
        <f>Build_Flag*Base_Revenue*(T52*INDEX($J$11:$S$11,1,Forecast_Years)-NWC_Pct*(T52-U52))+(1-Build_Flag)*Base_FCF*T52</f>
      </c>
      <c r="W52" s="43">
        <f>SUMPRODUCT($J$9:$S$9,$J$10:$S$10,Build_Flag*Base_Revenue*($J52:$S52*$J$11:$S$11-NWC_Pct*($J52:$S52-$I52:$R52))+(1-Build_Flag)*Base_FCF*$J52:$S52)</f>
      </c>
      <c r="X52" s="43">
        <f>IF(Exit_Flag=1,Base_Revenue*T52*INDEX($J$12:$S$12,1,Forecast_Years)*Exit_Multiple/(1+WACC)^Forecast_Years,IF(TGR&lt;WACC,V52*(1+TGR)/(WACC-TGR)/(1+WACC)^(Forecast_Years-Mid_Year),0))</f>
      </c>
    </row>
    <row r="53" hidden="1" spans="2:24" x14ac:dyDescent="0.25" outlineLevel="1" collapsed="1">
      <c r="B53" s="25">
        <f>B52+1</f>
      </c>
      <c r="C53" s="41">
        <f>IF(F52&lt;Share_Price,E52,C52)</f>
      </c>
      <c r="D53" s="41">
        <f>IF(F52&lt;Share_Price,D52,E52)</f>
      </c>
      <c r="E53" s="41">
        <f>(C53+D53)/2</f>
      </c>
      <c r="F53" s="65">
        <f>IF(Inputs_OK=1,(W53+X53+Net_Bridge)/Shares,0)</f>
      </c>
      <c r="G53" s="65">
        <f>F53-Share_Price</f>
      </c>
      <c r="I53" s="58">
        <f>1</f>
      </c>
      <c r="J53" s="58">
        <f>I53*(1+IF(J$8&lt;=5,$E53,$E53+(TGR-$E53)*(J$8-5)/5))</f>
      </c>
      <c r="K53" s="58">
        <f>J53*(1+IF(K$8&lt;=5,$E53,$E53+(TGR-$E53)*(K$8-5)/5))</f>
      </c>
      <c r="L53" s="58">
        <f>K53*(1+IF(L$8&lt;=5,$E53,$E53+(TGR-$E53)*(L$8-5)/5))</f>
      </c>
      <c r="M53" s="58">
        <f>L53*(1+IF(M$8&lt;=5,$E53,$E53+(TGR-$E53)*(M$8-5)/5))</f>
      </c>
      <c r="N53" s="58">
        <f>M53*(1+IF(N$8&lt;=5,$E53,$E53+(TGR-$E53)*(N$8-5)/5))</f>
      </c>
      <c r="O53" s="58">
        <f>N53*(1+IF(O$8&lt;=5,$E53,$E53+(TGR-$E53)*(O$8-5)/5))</f>
      </c>
      <c r="P53" s="58">
        <f>O53*(1+IF(P$8&lt;=5,$E53,$E53+(TGR-$E53)*(P$8-5)/5))</f>
      </c>
      <c r="Q53" s="58">
        <f>P53*(1+IF(Q$8&lt;=5,$E53,$E53+(TGR-$E53)*(Q$8-5)/5))</f>
      </c>
      <c r="R53" s="58">
        <f>Q53*(1+IF(R$8&lt;=5,$E53,$E53+(TGR-$E53)*(R$8-5)/5))</f>
      </c>
      <c r="S53" s="58">
        <f>R53*(1+IF(S$8&lt;=5,$E53,$E53+(TGR-$E53)*(S$8-5)/5))</f>
      </c>
      <c r="T53" s="58">
        <f>INDEX($J53:$S53,1,Forecast_Years)</f>
      </c>
      <c r="U53" s="58">
        <f>INDEX($I53:$S53,1,Forecast_Years)</f>
      </c>
      <c r="V53" s="43">
        <f>Build_Flag*Base_Revenue*(T53*INDEX($J$11:$S$11,1,Forecast_Years)-NWC_Pct*(T53-U53))+(1-Build_Flag)*Base_FCF*T53</f>
      </c>
      <c r="W53" s="43">
        <f>SUMPRODUCT($J$9:$S$9,$J$10:$S$10,Build_Flag*Base_Revenue*($J53:$S53*$J$11:$S$11-NWC_Pct*($J53:$S53-$I53:$R53))+(1-Build_Flag)*Base_FCF*$J53:$S53)</f>
      </c>
      <c r="X53" s="43">
        <f>IF(Exit_Flag=1,Base_Revenue*T53*INDEX($J$12:$S$12,1,Forecast_Years)*Exit_Multiple/(1+WACC)^Forecast_Years,IF(TGR&lt;WACC,V53*(1+TGR)/(WACC-TGR)/(1+WACC)^(Forecast_Years-Mid_Year),0))</f>
      </c>
    </row>
    <row r="54" hidden="1" spans="2:24" x14ac:dyDescent="0.25" outlineLevel="1" collapsed="1">
      <c r="B54" s="25">
        <f>B53+1</f>
      </c>
      <c r="C54" s="41">
        <f>IF(F53&lt;Share_Price,E53,C53)</f>
      </c>
      <c r="D54" s="41">
        <f>IF(F53&lt;Share_Price,D53,E53)</f>
      </c>
      <c r="E54" s="41">
        <f>(C54+D54)/2</f>
      </c>
      <c r="F54" s="65">
        <f>IF(Inputs_OK=1,(W54+X54+Net_Bridge)/Shares,0)</f>
      </c>
      <c r="G54" s="65">
        <f>F54-Share_Price</f>
      </c>
      <c r="I54" s="58">
        <f>1</f>
      </c>
      <c r="J54" s="58">
        <f>I54*(1+IF(J$8&lt;=5,$E54,$E54+(TGR-$E54)*(J$8-5)/5))</f>
      </c>
      <c r="K54" s="58">
        <f>J54*(1+IF(K$8&lt;=5,$E54,$E54+(TGR-$E54)*(K$8-5)/5))</f>
      </c>
      <c r="L54" s="58">
        <f>K54*(1+IF(L$8&lt;=5,$E54,$E54+(TGR-$E54)*(L$8-5)/5))</f>
      </c>
      <c r="M54" s="58">
        <f>L54*(1+IF(M$8&lt;=5,$E54,$E54+(TGR-$E54)*(M$8-5)/5))</f>
      </c>
      <c r="N54" s="58">
        <f>M54*(1+IF(N$8&lt;=5,$E54,$E54+(TGR-$E54)*(N$8-5)/5))</f>
      </c>
      <c r="O54" s="58">
        <f>N54*(1+IF(O$8&lt;=5,$E54,$E54+(TGR-$E54)*(O$8-5)/5))</f>
      </c>
      <c r="P54" s="58">
        <f>O54*(1+IF(P$8&lt;=5,$E54,$E54+(TGR-$E54)*(P$8-5)/5))</f>
      </c>
      <c r="Q54" s="58">
        <f>P54*(1+IF(Q$8&lt;=5,$E54,$E54+(TGR-$E54)*(Q$8-5)/5))</f>
      </c>
      <c r="R54" s="58">
        <f>Q54*(1+IF(R$8&lt;=5,$E54,$E54+(TGR-$E54)*(R$8-5)/5))</f>
      </c>
      <c r="S54" s="58">
        <f>R54*(1+IF(S$8&lt;=5,$E54,$E54+(TGR-$E54)*(S$8-5)/5))</f>
      </c>
      <c r="T54" s="58">
        <f>INDEX($J54:$S54,1,Forecast_Years)</f>
      </c>
      <c r="U54" s="58">
        <f>INDEX($I54:$S54,1,Forecast_Years)</f>
      </c>
      <c r="V54" s="43">
        <f>Build_Flag*Base_Revenue*(T54*INDEX($J$11:$S$11,1,Forecast_Years)-NWC_Pct*(T54-U54))+(1-Build_Flag)*Base_FCF*T54</f>
      </c>
      <c r="W54" s="43">
        <f>SUMPRODUCT($J$9:$S$9,$J$10:$S$10,Build_Flag*Base_Revenue*($J54:$S54*$J$11:$S$11-NWC_Pct*($J54:$S54-$I54:$R54))+(1-Build_Flag)*Base_FCF*$J54:$S54)</f>
      </c>
      <c r="X54" s="43">
        <f>IF(Exit_Flag=1,Base_Revenue*T54*INDEX($J$12:$S$12,1,Forecast_Years)*Exit_Multiple/(1+WACC)^Forecast_Years,IF(TGR&lt;WACC,V54*(1+TGR)/(WACC-TGR)/(1+WACC)^(Forecast_Years-Mid_Year),0))</f>
      </c>
    </row>
    <row r="55" hidden="1" spans="2:24" x14ac:dyDescent="0.25" outlineLevel="1" collapsed="1">
      <c r="B55" s="25">
        <f>B54+1</f>
      </c>
      <c r="C55" s="41">
        <f>IF(F54&lt;Share_Price,E54,C54)</f>
      </c>
      <c r="D55" s="41">
        <f>IF(F54&lt;Share_Price,D54,E54)</f>
      </c>
      <c r="E55" s="41">
        <f>(C55+D55)/2</f>
      </c>
      <c r="F55" s="65">
        <f>IF(Inputs_OK=1,(W55+X55+Net_Bridge)/Shares,0)</f>
      </c>
      <c r="G55" s="65">
        <f>F55-Share_Price</f>
      </c>
      <c r="I55" s="58">
        <f>1</f>
      </c>
      <c r="J55" s="58">
        <f>I55*(1+IF(J$8&lt;=5,$E55,$E55+(TGR-$E55)*(J$8-5)/5))</f>
      </c>
      <c r="K55" s="58">
        <f>J55*(1+IF(K$8&lt;=5,$E55,$E55+(TGR-$E55)*(K$8-5)/5))</f>
      </c>
      <c r="L55" s="58">
        <f>K55*(1+IF(L$8&lt;=5,$E55,$E55+(TGR-$E55)*(L$8-5)/5))</f>
      </c>
      <c r="M55" s="58">
        <f>L55*(1+IF(M$8&lt;=5,$E55,$E55+(TGR-$E55)*(M$8-5)/5))</f>
      </c>
      <c r="N55" s="58">
        <f>M55*(1+IF(N$8&lt;=5,$E55,$E55+(TGR-$E55)*(N$8-5)/5))</f>
      </c>
      <c r="O55" s="58">
        <f>N55*(1+IF(O$8&lt;=5,$E55,$E55+(TGR-$E55)*(O$8-5)/5))</f>
      </c>
      <c r="P55" s="58">
        <f>O55*(1+IF(P$8&lt;=5,$E55,$E55+(TGR-$E55)*(P$8-5)/5))</f>
      </c>
      <c r="Q55" s="58">
        <f>P55*(1+IF(Q$8&lt;=5,$E55,$E55+(TGR-$E55)*(Q$8-5)/5))</f>
      </c>
      <c r="R55" s="58">
        <f>Q55*(1+IF(R$8&lt;=5,$E55,$E55+(TGR-$E55)*(R$8-5)/5))</f>
      </c>
      <c r="S55" s="58">
        <f>R55*(1+IF(S$8&lt;=5,$E55,$E55+(TGR-$E55)*(S$8-5)/5))</f>
      </c>
      <c r="T55" s="58">
        <f>INDEX($J55:$S55,1,Forecast_Years)</f>
      </c>
      <c r="U55" s="58">
        <f>INDEX($I55:$S55,1,Forecast_Years)</f>
      </c>
      <c r="V55" s="43">
        <f>Build_Flag*Base_Revenue*(T55*INDEX($J$11:$S$11,1,Forecast_Years)-NWC_Pct*(T55-U55))+(1-Build_Flag)*Base_FCF*T55</f>
      </c>
      <c r="W55" s="43">
        <f>SUMPRODUCT($J$9:$S$9,$J$10:$S$10,Build_Flag*Base_Revenue*($J55:$S55*$J$11:$S$11-NWC_Pct*($J55:$S55-$I55:$R55))+(1-Build_Flag)*Base_FCF*$J55:$S55)</f>
      </c>
      <c r="X55" s="43">
        <f>IF(Exit_Flag=1,Base_Revenue*T55*INDEX($J$12:$S$12,1,Forecast_Years)*Exit_Multiple/(1+WACC)^Forecast_Years,IF(TGR&lt;WACC,V55*(1+TGR)/(WACC-TGR)/(1+WACC)^(Forecast_Years-Mid_Year),0))</f>
      </c>
    </row>
    <row r="56" hidden="1" spans="2:24" x14ac:dyDescent="0.25" outlineLevel="1" collapsed="1">
      <c r="B56" s="25">
        <f>B55+1</f>
      </c>
      <c r="C56" s="41">
        <f>IF(F55&lt;Share_Price,E55,C55)</f>
      </c>
      <c r="D56" s="41">
        <f>IF(F55&lt;Share_Price,D55,E55)</f>
      </c>
      <c r="E56" s="41">
        <f>(C56+D56)/2</f>
      </c>
      <c r="F56" s="65">
        <f>IF(Inputs_OK=1,(W56+X56+Net_Bridge)/Shares,0)</f>
      </c>
      <c r="G56" s="65">
        <f>F56-Share_Price</f>
      </c>
      <c r="I56" s="58">
        <f>1</f>
      </c>
      <c r="J56" s="58">
        <f>I56*(1+IF(J$8&lt;=5,$E56,$E56+(TGR-$E56)*(J$8-5)/5))</f>
      </c>
      <c r="K56" s="58">
        <f>J56*(1+IF(K$8&lt;=5,$E56,$E56+(TGR-$E56)*(K$8-5)/5))</f>
      </c>
      <c r="L56" s="58">
        <f>K56*(1+IF(L$8&lt;=5,$E56,$E56+(TGR-$E56)*(L$8-5)/5))</f>
      </c>
      <c r="M56" s="58">
        <f>L56*(1+IF(M$8&lt;=5,$E56,$E56+(TGR-$E56)*(M$8-5)/5))</f>
      </c>
      <c r="N56" s="58">
        <f>M56*(1+IF(N$8&lt;=5,$E56,$E56+(TGR-$E56)*(N$8-5)/5))</f>
      </c>
      <c r="O56" s="58">
        <f>N56*(1+IF(O$8&lt;=5,$E56,$E56+(TGR-$E56)*(O$8-5)/5))</f>
      </c>
      <c r="P56" s="58">
        <f>O56*(1+IF(P$8&lt;=5,$E56,$E56+(TGR-$E56)*(P$8-5)/5))</f>
      </c>
      <c r="Q56" s="58">
        <f>P56*(1+IF(Q$8&lt;=5,$E56,$E56+(TGR-$E56)*(Q$8-5)/5))</f>
      </c>
      <c r="R56" s="58">
        <f>Q56*(1+IF(R$8&lt;=5,$E56,$E56+(TGR-$E56)*(R$8-5)/5))</f>
      </c>
      <c r="S56" s="58">
        <f>R56*(1+IF(S$8&lt;=5,$E56,$E56+(TGR-$E56)*(S$8-5)/5))</f>
      </c>
      <c r="T56" s="58">
        <f>INDEX($J56:$S56,1,Forecast_Years)</f>
      </c>
      <c r="U56" s="58">
        <f>INDEX($I56:$S56,1,Forecast_Years)</f>
      </c>
      <c r="V56" s="43">
        <f>Build_Flag*Base_Revenue*(T56*INDEX($J$11:$S$11,1,Forecast_Years)-NWC_Pct*(T56-U56))+(1-Build_Flag)*Base_FCF*T56</f>
      </c>
      <c r="W56" s="43">
        <f>SUMPRODUCT($J$9:$S$9,$J$10:$S$10,Build_Flag*Base_Revenue*($J56:$S56*$J$11:$S$11-NWC_Pct*($J56:$S56-$I56:$R56))+(1-Build_Flag)*Base_FCF*$J56:$S56)</f>
      </c>
      <c r="X56" s="43">
        <f>IF(Exit_Flag=1,Base_Revenue*T56*INDEX($J$12:$S$12,1,Forecast_Years)*Exit_Multiple/(1+WACC)^Forecast_Years,IF(TGR&lt;WACC,V56*(1+TGR)/(WACC-TGR)/(1+WACC)^(Forecast_Years-Mid_Year),0))</f>
      </c>
    </row>
    <row r="57" hidden="1" spans="2:24" x14ac:dyDescent="0.25" outlineLevel="1" collapsed="1">
      <c r="B57" s="25">
        <f>B56+1</f>
      </c>
      <c r="C57" s="41">
        <f>IF(F56&lt;Share_Price,E56,C56)</f>
      </c>
      <c r="D57" s="41">
        <f>IF(F56&lt;Share_Price,D56,E56)</f>
      </c>
      <c r="E57" s="41">
        <f>(C57+D57)/2</f>
      </c>
      <c r="F57" s="65">
        <f>IF(Inputs_OK=1,(W57+X57+Net_Bridge)/Shares,0)</f>
      </c>
      <c r="G57" s="65">
        <f>F57-Share_Price</f>
      </c>
      <c r="I57" s="58">
        <f>1</f>
      </c>
      <c r="J57" s="58">
        <f>I57*(1+IF(J$8&lt;=5,$E57,$E57+(TGR-$E57)*(J$8-5)/5))</f>
      </c>
      <c r="K57" s="58">
        <f>J57*(1+IF(K$8&lt;=5,$E57,$E57+(TGR-$E57)*(K$8-5)/5))</f>
      </c>
      <c r="L57" s="58">
        <f>K57*(1+IF(L$8&lt;=5,$E57,$E57+(TGR-$E57)*(L$8-5)/5))</f>
      </c>
      <c r="M57" s="58">
        <f>L57*(1+IF(M$8&lt;=5,$E57,$E57+(TGR-$E57)*(M$8-5)/5))</f>
      </c>
      <c r="N57" s="58">
        <f>M57*(1+IF(N$8&lt;=5,$E57,$E57+(TGR-$E57)*(N$8-5)/5))</f>
      </c>
      <c r="O57" s="58">
        <f>N57*(1+IF(O$8&lt;=5,$E57,$E57+(TGR-$E57)*(O$8-5)/5))</f>
      </c>
      <c r="P57" s="58">
        <f>O57*(1+IF(P$8&lt;=5,$E57,$E57+(TGR-$E57)*(P$8-5)/5))</f>
      </c>
      <c r="Q57" s="58">
        <f>P57*(1+IF(Q$8&lt;=5,$E57,$E57+(TGR-$E57)*(Q$8-5)/5))</f>
      </c>
      <c r="R57" s="58">
        <f>Q57*(1+IF(R$8&lt;=5,$E57,$E57+(TGR-$E57)*(R$8-5)/5))</f>
      </c>
      <c r="S57" s="58">
        <f>R57*(1+IF(S$8&lt;=5,$E57,$E57+(TGR-$E57)*(S$8-5)/5))</f>
      </c>
      <c r="T57" s="58">
        <f>INDEX($J57:$S57,1,Forecast_Years)</f>
      </c>
      <c r="U57" s="58">
        <f>INDEX($I57:$S57,1,Forecast_Years)</f>
      </c>
      <c r="V57" s="43">
        <f>Build_Flag*Base_Revenue*(T57*INDEX($J$11:$S$11,1,Forecast_Years)-NWC_Pct*(T57-U57))+(1-Build_Flag)*Base_FCF*T57</f>
      </c>
      <c r="W57" s="43">
        <f>SUMPRODUCT($J$9:$S$9,$J$10:$S$10,Build_Flag*Base_Revenue*($J57:$S57*$J$11:$S$11-NWC_Pct*($J57:$S57-$I57:$R57))+(1-Build_Flag)*Base_FCF*$J57:$S57)</f>
      </c>
      <c r="X57" s="43">
        <f>IF(Exit_Flag=1,Base_Revenue*T57*INDEX($J$12:$S$12,1,Forecast_Years)*Exit_Multiple/(1+WACC)^Forecast_Years,IF(TGR&lt;WACC,V57*(1+TGR)/(WACC-TGR)/(1+WACC)^(Forecast_Years-Mid_Year),0))</f>
      </c>
    </row>
    <row r="58" hidden="1" spans="2:24" x14ac:dyDescent="0.25" outlineLevel="1" collapsed="1">
      <c r="B58" s="25">
        <f>B57+1</f>
      </c>
      <c r="C58" s="41">
        <f>IF(F57&lt;Share_Price,E57,C57)</f>
      </c>
      <c r="D58" s="41">
        <f>IF(F57&lt;Share_Price,D57,E57)</f>
      </c>
      <c r="E58" s="41">
        <f>(C58+D58)/2</f>
      </c>
      <c r="F58" s="65">
        <f>IF(Inputs_OK=1,(W58+X58+Net_Bridge)/Shares,0)</f>
      </c>
      <c r="G58" s="65">
        <f>F58-Share_Price</f>
      </c>
      <c r="I58" s="58">
        <f>1</f>
      </c>
      <c r="J58" s="58">
        <f>I58*(1+IF(J$8&lt;=5,$E58,$E58+(TGR-$E58)*(J$8-5)/5))</f>
      </c>
      <c r="K58" s="58">
        <f>J58*(1+IF(K$8&lt;=5,$E58,$E58+(TGR-$E58)*(K$8-5)/5))</f>
      </c>
      <c r="L58" s="58">
        <f>K58*(1+IF(L$8&lt;=5,$E58,$E58+(TGR-$E58)*(L$8-5)/5))</f>
      </c>
      <c r="M58" s="58">
        <f>L58*(1+IF(M$8&lt;=5,$E58,$E58+(TGR-$E58)*(M$8-5)/5))</f>
      </c>
      <c r="N58" s="58">
        <f>M58*(1+IF(N$8&lt;=5,$E58,$E58+(TGR-$E58)*(N$8-5)/5))</f>
      </c>
      <c r="O58" s="58">
        <f>N58*(1+IF(O$8&lt;=5,$E58,$E58+(TGR-$E58)*(O$8-5)/5))</f>
      </c>
      <c r="P58" s="58">
        <f>O58*(1+IF(P$8&lt;=5,$E58,$E58+(TGR-$E58)*(P$8-5)/5))</f>
      </c>
      <c r="Q58" s="58">
        <f>P58*(1+IF(Q$8&lt;=5,$E58,$E58+(TGR-$E58)*(Q$8-5)/5))</f>
      </c>
      <c r="R58" s="58">
        <f>Q58*(1+IF(R$8&lt;=5,$E58,$E58+(TGR-$E58)*(R$8-5)/5))</f>
      </c>
      <c r="S58" s="58">
        <f>R58*(1+IF(S$8&lt;=5,$E58,$E58+(TGR-$E58)*(S$8-5)/5))</f>
      </c>
      <c r="T58" s="58">
        <f>INDEX($J58:$S58,1,Forecast_Years)</f>
      </c>
      <c r="U58" s="58">
        <f>INDEX($I58:$S58,1,Forecast_Years)</f>
      </c>
      <c r="V58" s="43">
        <f>Build_Flag*Base_Revenue*(T58*INDEX($J$11:$S$11,1,Forecast_Years)-NWC_Pct*(T58-U58))+(1-Build_Flag)*Base_FCF*T58</f>
      </c>
      <c r="W58" s="43">
        <f>SUMPRODUCT($J$9:$S$9,$J$10:$S$10,Build_Flag*Base_Revenue*($J58:$S58*$J$11:$S$11-NWC_Pct*($J58:$S58-$I58:$R58))+(1-Build_Flag)*Base_FCF*$J58:$S58)</f>
      </c>
      <c r="X58" s="43">
        <f>IF(Exit_Flag=1,Base_Revenue*T58*INDEX($J$12:$S$12,1,Forecast_Years)*Exit_Multiple/(1+WACC)^Forecast_Years,IF(TGR&lt;WACC,V58*(1+TGR)/(WACC-TGR)/(1+WACC)^(Forecast_Years-Mid_Year),0))</f>
      </c>
    </row>
    <row r="59" hidden="1" spans="2:24" x14ac:dyDescent="0.25" outlineLevel="1" collapsed="1">
      <c r="B59" s="25">
        <f>B58+1</f>
      </c>
      <c r="C59" s="41">
        <f>IF(F58&lt;Share_Price,E58,C58)</f>
      </c>
      <c r="D59" s="41">
        <f>IF(F58&lt;Share_Price,D58,E58)</f>
      </c>
      <c r="E59" s="41">
        <f>(C59+D59)/2</f>
      </c>
      <c r="F59" s="65">
        <f>IF(Inputs_OK=1,(W59+X59+Net_Bridge)/Shares,0)</f>
      </c>
      <c r="G59" s="65">
        <f>F59-Share_Price</f>
      </c>
      <c r="I59" s="58">
        <f>1</f>
      </c>
      <c r="J59" s="58">
        <f>I59*(1+IF(J$8&lt;=5,$E59,$E59+(TGR-$E59)*(J$8-5)/5))</f>
      </c>
      <c r="K59" s="58">
        <f>J59*(1+IF(K$8&lt;=5,$E59,$E59+(TGR-$E59)*(K$8-5)/5))</f>
      </c>
      <c r="L59" s="58">
        <f>K59*(1+IF(L$8&lt;=5,$E59,$E59+(TGR-$E59)*(L$8-5)/5))</f>
      </c>
      <c r="M59" s="58">
        <f>L59*(1+IF(M$8&lt;=5,$E59,$E59+(TGR-$E59)*(M$8-5)/5))</f>
      </c>
      <c r="N59" s="58">
        <f>M59*(1+IF(N$8&lt;=5,$E59,$E59+(TGR-$E59)*(N$8-5)/5))</f>
      </c>
      <c r="O59" s="58">
        <f>N59*(1+IF(O$8&lt;=5,$E59,$E59+(TGR-$E59)*(O$8-5)/5))</f>
      </c>
      <c r="P59" s="58">
        <f>O59*(1+IF(P$8&lt;=5,$E59,$E59+(TGR-$E59)*(P$8-5)/5))</f>
      </c>
      <c r="Q59" s="58">
        <f>P59*(1+IF(Q$8&lt;=5,$E59,$E59+(TGR-$E59)*(Q$8-5)/5))</f>
      </c>
      <c r="R59" s="58">
        <f>Q59*(1+IF(R$8&lt;=5,$E59,$E59+(TGR-$E59)*(R$8-5)/5))</f>
      </c>
      <c r="S59" s="58">
        <f>R59*(1+IF(S$8&lt;=5,$E59,$E59+(TGR-$E59)*(S$8-5)/5))</f>
      </c>
      <c r="T59" s="58">
        <f>INDEX($J59:$S59,1,Forecast_Years)</f>
      </c>
      <c r="U59" s="58">
        <f>INDEX($I59:$S59,1,Forecast_Years)</f>
      </c>
      <c r="V59" s="43">
        <f>Build_Flag*Base_Revenue*(T59*INDEX($J$11:$S$11,1,Forecast_Years)-NWC_Pct*(T59-U59))+(1-Build_Flag)*Base_FCF*T59</f>
      </c>
      <c r="W59" s="43">
        <f>SUMPRODUCT($J$9:$S$9,$J$10:$S$10,Build_Flag*Base_Revenue*($J59:$S59*$J$11:$S$11-NWC_Pct*($J59:$S59-$I59:$R59))+(1-Build_Flag)*Base_FCF*$J59:$S59)</f>
      </c>
      <c r="X59" s="43">
        <f>IF(Exit_Flag=1,Base_Revenue*T59*INDEX($J$12:$S$12,1,Forecast_Years)*Exit_Multiple/(1+WACC)^Forecast_Years,IF(TGR&lt;WACC,V59*(1+TGR)/(WACC-TGR)/(1+WACC)^(Forecast_Years-Mid_Year),0))</f>
      </c>
    </row>
    <row r="60" hidden="1" spans="2:24" x14ac:dyDescent="0.25" outlineLevel="1" collapsed="1">
      <c r="B60" s="25">
        <f>B59+1</f>
      </c>
      <c r="C60" s="41">
        <f>IF(F59&lt;Share_Price,E59,C59)</f>
      </c>
      <c r="D60" s="41">
        <f>IF(F59&lt;Share_Price,D59,E59)</f>
      </c>
      <c r="E60" s="41">
        <f>(C60+D60)/2</f>
      </c>
      <c r="F60" s="65">
        <f>IF(Inputs_OK=1,(W60+X60+Net_Bridge)/Shares,0)</f>
      </c>
      <c r="G60" s="65">
        <f>F60-Share_Price</f>
      </c>
      <c r="I60" s="58">
        <f>1</f>
      </c>
      <c r="J60" s="58">
        <f>I60*(1+IF(J$8&lt;=5,$E60,$E60+(TGR-$E60)*(J$8-5)/5))</f>
      </c>
      <c r="K60" s="58">
        <f>J60*(1+IF(K$8&lt;=5,$E60,$E60+(TGR-$E60)*(K$8-5)/5))</f>
      </c>
      <c r="L60" s="58">
        <f>K60*(1+IF(L$8&lt;=5,$E60,$E60+(TGR-$E60)*(L$8-5)/5))</f>
      </c>
      <c r="M60" s="58">
        <f>L60*(1+IF(M$8&lt;=5,$E60,$E60+(TGR-$E60)*(M$8-5)/5))</f>
      </c>
      <c r="N60" s="58">
        <f>M60*(1+IF(N$8&lt;=5,$E60,$E60+(TGR-$E60)*(N$8-5)/5))</f>
      </c>
      <c r="O60" s="58">
        <f>N60*(1+IF(O$8&lt;=5,$E60,$E60+(TGR-$E60)*(O$8-5)/5))</f>
      </c>
      <c r="P60" s="58">
        <f>O60*(1+IF(P$8&lt;=5,$E60,$E60+(TGR-$E60)*(P$8-5)/5))</f>
      </c>
      <c r="Q60" s="58">
        <f>P60*(1+IF(Q$8&lt;=5,$E60,$E60+(TGR-$E60)*(Q$8-5)/5))</f>
      </c>
      <c r="R60" s="58">
        <f>Q60*(1+IF(R$8&lt;=5,$E60,$E60+(TGR-$E60)*(R$8-5)/5))</f>
      </c>
      <c r="S60" s="58">
        <f>R60*(1+IF(S$8&lt;=5,$E60,$E60+(TGR-$E60)*(S$8-5)/5))</f>
      </c>
      <c r="T60" s="58">
        <f>INDEX($J60:$S60,1,Forecast_Years)</f>
      </c>
      <c r="U60" s="58">
        <f>INDEX($I60:$S60,1,Forecast_Years)</f>
      </c>
      <c r="V60" s="43">
        <f>Build_Flag*Base_Revenue*(T60*INDEX($J$11:$S$11,1,Forecast_Years)-NWC_Pct*(T60-U60))+(1-Build_Flag)*Base_FCF*T60</f>
      </c>
      <c r="W60" s="43">
        <f>SUMPRODUCT($J$9:$S$9,$J$10:$S$10,Build_Flag*Base_Revenue*($J60:$S60*$J$11:$S$11-NWC_Pct*($J60:$S60-$I60:$R60))+(1-Build_Flag)*Base_FCF*$J60:$S60)</f>
      </c>
      <c r="X60" s="43">
        <f>IF(Exit_Flag=1,Base_Revenue*T60*INDEX($J$12:$S$12,1,Forecast_Years)*Exit_Multiple/(1+WACC)^Forecast_Years,IF(TGR&lt;WACC,V60*(1+TGR)/(WACC-TGR)/(1+WACC)^(Forecast_Years-Mid_Year),0))</f>
      </c>
    </row>
    <row r="61" hidden="1" spans="2:24" x14ac:dyDescent="0.25" outlineLevel="1" collapsed="1">
      <c r="B61" s="25">
        <f>B60+1</f>
      </c>
      <c r="C61" s="41">
        <f>IF(F60&lt;Share_Price,E60,C60)</f>
      </c>
      <c r="D61" s="41">
        <f>IF(F60&lt;Share_Price,D60,E60)</f>
      </c>
      <c r="E61" s="41">
        <f>(C61+D61)/2</f>
      </c>
      <c r="F61" s="65">
        <f>IF(Inputs_OK=1,(W61+X61+Net_Bridge)/Shares,0)</f>
      </c>
      <c r="G61" s="65">
        <f>F61-Share_Price</f>
      </c>
      <c r="I61" s="58">
        <f>1</f>
      </c>
      <c r="J61" s="58">
        <f>I61*(1+IF(J$8&lt;=5,$E61,$E61+(TGR-$E61)*(J$8-5)/5))</f>
      </c>
      <c r="K61" s="58">
        <f>J61*(1+IF(K$8&lt;=5,$E61,$E61+(TGR-$E61)*(K$8-5)/5))</f>
      </c>
      <c r="L61" s="58">
        <f>K61*(1+IF(L$8&lt;=5,$E61,$E61+(TGR-$E61)*(L$8-5)/5))</f>
      </c>
      <c r="M61" s="58">
        <f>L61*(1+IF(M$8&lt;=5,$E61,$E61+(TGR-$E61)*(M$8-5)/5))</f>
      </c>
      <c r="N61" s="58">
        <f>M61*(1+IF(N$8&lt;=5,$E61,$E61+(TGR-$E61)*(N$8-5)/5))</f>
      </c>
      <c r="O61" s="58">
        <f>N61*(1+IF(O$8&lt;=5,$E61,$E61+(TGR-$E61)*(O$8-5)/5))</f>
      </c>
      <c r="P61" s="58">
        <f>O61*(1+IF(P$8&lt;=5,$E61,$E61+(TGR-$E61)*(P$8-5)/5))</f>
      </c>
      <c r="Q61" s="58">
        <f>P61*(1+IF(Q$8&lt;=5,$E61,$E61+(TGR-$E61)*(Q$8-5)/5))</f>
      </c>
      <c r="R61" s="58">
        <f>Q61*(1+IF(R$8&lt;=5,$E61,$E61+(TGR-$E61)*(R$8-5)/5))</f>
      </c>
      <c r="S61" s="58">
        <f>R61*(1+IF(S$8&lt;=5,$E61,$E61+(TGR-$E61)*(S$8-5)/5))</f>
      </c>
      <c r="T61" s="58">
        <f>INDEX($J61:$S61,1,Forecast_Years)</f>
      </c>
      <c r="U61" s="58">
        <f>INDEX($I61:$S61,1,Forecast_Years)</f>
      </c>
      <c r="V61" s="43">
        <f>Build_Flag*Base_Revenue*(T61*INDEX($J$11:$S$11,1,Forecast_Years)-NWC_Pct*(T61-U61))+(1-Build_Flag)*Base_FCF*T61</f>
      </c>
      <c r="W61" s="43">
        <f>SUMPRODUCT($J$9:$S$9,$J$10:$S$10,Build_Flag*Base_Revenue*($J61:$S61*$J$11:$S$11-NWC_Pct*($J61:$S61-$I61:$R61))+(1-Build_Flag)*Base_FCF*$J61:$S61)</f>
      </c>
      <c r="X61" s="43">
        <f>IF(Exit_Flag=1,Base_Revenue*T61*INDEX($J$12:$S$12,1,Forecast_Years)*Exit_Multiple/(1+WACC)^Forecast_Years,IF(TGR&lt;WACC,V61*(1+TGR)/(WACC-TGR)/(1+WACC)^(Forecast_Years-Mid_Year),0))</f>
      </c>
    </row>
    <row r="62" hidden="1" spans="2:24" x14ac:dyDescent="0.25" outlineLevel="1" collapsed="1">
      <c r="B62" s="25">
        <f>B61+1</f>
      </c>
      <c r="C62" s="41">
        <f>IF(F61&lt;Share_Price,E61,C61)</f>
      </c>
      <c r="D62" s="41">
        <f>IF(F61&lt;Share_Price,D61,E61)</f>
      </c>
      <c r="E62" s="41">
        <f>(C62+D62)/2</f>
      </c>
      <c r="F62" s="65">
        <f>IF(Inputs_OK=1,(W62+X62+Net_Bridge)/Shares,0)</f>
      </c>
      <c r="G62" s="65">
        <f>F62-Share_Price</f>
      </c>
      <c r="I62" s="58">
        <f>1</f>
      </c>
      <c r="J62" s="58">
        <f>I62*(1+IF(J$8&lt;=5,$E62,$E62+(TGR-$E62)*(J$8-5)/5))</f>
      </c>
      <c r="K62" s="58">
        <f>J62*(1+IF(K$8&lt;=5,$E62,$E62+(TGR-$E62)*(K$8-5)/5))</f>
      </c>
      <c r="L62" s="58">
        <f>K62*(1+IF(L$8&lt;=5,$E62,$E62+(TGR-$E62)*(L$8-5)/5))</f>
      </c>
      <c r="M62" s="58">
        <f>L62*(1+IF(M$8&lt;=5,$E62,$E62+(TGR-$E62)*(M$8-5)/5))</f>
      </c>
      <c r="N62" s="58">
        <f>M62*(1+IF(N$8&lt;=5,$E62,$E62+(TGR-$E62)*(N$8-5)/5))</f>
      </c>
      <c r="O62" s="58">
        <f>N62*(1+IF(O$8&lt;=5,$E62,$E62+(TGR-$E62)*(O$8-5)/5))</f>
      </c>
      <c r="P62" s="58">
        <f>O62*(1+IF(P$8&lt;=5,$E62,$E62+(TGR-$E62)*(P$8-5)/5))</f>
      </c>
      <c r="Q62" s="58">
        <f>P62*(1+IF(Q$8&lt;=5,$E62,$E62+(TGR-$E62)*(Q$8-5)/5))</f>
      </c>
      <c r="R62" s="58">
        <f>Q62*(1+IF(R$8&lt;=5,$E62,$E62+(TGR-$E62)*(R$8-5)/5))</f>
      </c>
      <c r="S62" s="58">
        <f>R62*(1+IF(S$8&lt;=5,$E62,$E62+(TGR-$E62)*(S$8-5)/5))</f>
      </c>
      <c r="T62" s="58">
        <f>INDEX($J62:$S62,1,Forecast_Years)</f>
      </c>
      <c r="U62" s="58">
        <f>INDEX($I62:$S62,1,Forecast_Years)</f>
      </c>
      <c r="V62" s="43">
        <f>Build_Flag*Base_Revenue*(T62*INDEX($J$11:$S$11,1,Forecast_Years)-NWC_Pct*(T62-U62))+(1-Build_Flag)*Base_FCF*T62</f>
      </c>
      <c r="W62" s="43">
        <f>SUMPRODUCT($J$9:$S$9,$J$10:$S$10,Build_Flag*Base_Revenue*($J62:$S62*$J$11:$S$11-NWC_Pct*($J62:$S62-$I62:$R62))+(1-Build_Flag)*Base_FCF*$J62:$S62)</f>
      </c>
      <c r="X62" s="43">
        <f>IF(Exit_Flag=1,Base_Revenue*T62*INDEX($J$12:$S$12,1,Forecast_Years)*Exit_Multiple/(1+WACC)^Forecast_Years,IF(TGR&lt;WACC,V62*(1+TGR)/(WACC-TGR)/(1+WACC)^(Forecast_Years-Mid_Year),0))</f>
      </c>
    </row>
    <row r="63" hidden="1" spans="2:24" x14ac:dyDescent="0.25" outlineLevel="1" collapsed="1">
      <c r="B63" s="25">
        <f>B62+1</f>
      </c>
      <c r="C63" s="41">
        <f>IF(F62&lt;Share_Price,E62,C62)</f>
      </c>
      <c r="D63" s="41">
        <f>IF(F62&lt;Share_Price,D62,E62)</f>
      </c>
      <c r="E63" s="41">
        <f>(C63+D63)/2</f>
      </c>
      <c r="F63" s="65">
        <f>IF(Inputs_OK=1,(W63+X63+Net_Bridge)/Shares,0)</f>
      </c>
      <c r="G63" s="65">
        <f>F63-Share_Price</f>
      </c>
      <c r="I63" s="58">
        <f>1</f>
      </c>
      <c r="J63" s="58">
        <f>I63*(1+IF(J$8&lt;=5,$E63,$E63+(TGR-$E63)*(J$8-5)/5))</f>
      </c>
      <c r="K63" s="58">
        <f>J63*(1+IF(K$8&lt;=5,$E63,$E63+(TGR-$E63)*(K$8-5)/5))</f>
      </c>
      <c r="L63" s="58">
        <f>K63*(1+IF(L$8&lt;=5,$E63,$E63+(TGR-$E63)*(L$8-5)/5))</f>
      </c>
      <c r="M63" s="58">
        <f>L63*(1+IF(M$8&lt;=5,$E63,$E63+(TGR-$E63)*(M$8-5)/5))</f>
      </c>
      <c r="N63" s="58">
        <f>M63*(1+IF(N$8&lt;=5,$E63,$E63+(TGR-$E63)*(N$8-5)/5))</f>
      </c>
      <c r="O63" s="58">
        <f>N63*(1+IF(O$8&lt;=5,$E63,$E63+(TGR-$E63)*(O$8-5)/5))</f>
      </c>
      <c r="P63" s="58">
        <f>O63*(1+IF(P$8&lt;=5,$E63,$E63+(TGR-$E63)*(P$8-5)/5))</f>
      </c>
      <c r="Q63" s="58">
        <f>P63*(1+IF(Q$8&lt;=5,$E63,$E63+(TGR-$E63)*(Q$8-5)/5))</f>
      </c>
      <c r="R63" s="58">
        <f>Q63*(1+IF(R$8&lt;=5,$E63,$E63+(TGR-$E63)*(R$8-5)/5))</f>
      </c>
      <c r="S63" s="58">
        <f>R63*(1+IF(S$8&lt;=5,$E63,$E63+(TGR-$E63)*(S$8-5)/5))</f>
      </c>
      <c r="T63" s="58">
        <f>INDEX($J63:$S63,1,Forecast_Years)</f>
      </c>
      <c r="U63" s="58">
        <f>INDEX($I63:$S63,1,Forecast_Years)</f>
      </c>
      <c r="V63" s="43">
        <f>Build_Flag*Base_Revenue*(T63*INDEX($J$11:$S$11,1,Forecast_Years)-NWC_Pct*(T63-U63))+(1-Build_Flag)*Base_FCF*T63</f>
      </c>
      <c r="W63" s="43">
        <f>SUMPRODUCT($J$9:$S$9,$J$10:$S$10,Build_Flag*Base_Revenue*($J63:$S63*$J$11:$S$11-NWC_Pct*($J63:$S63-$I63:$R63))+(1-Build_Flag)*Base_FCF*$J63:$S63)</f>
      </c>
      <c r="X63" s="43">
        <f>IF(Exit_Flag=1,Base_Revenue*T63*INDEX($J$12:$S$12,1,Forecast_Years)*Exit_Multiple/(1+WACC)^Forecast_Years,IF(TGR&lt;WACC,V63*(1+TGR)/(WACC-TGR)/(1+WACC)^(Forecast_Years-Mid_Year),0))</f>
      </c>
    </row>
    <row r="64" hidden="1" spans="2:24" x14ac:dyDescent="0.25" outlineLevel="1" collapsed="1">
      <c r="B64" s="25">
        <f>B63+1</f>
      </c>
      <c r="C64" s="41">
        <f>IF(F63&lt;Share_Price,E63,C63)</f>
      </c>
      <c r="D64" s="41">
        <f>IF(F63&lt;Share_Price,D63,E63)</f>
      </c>
      <c r="E64" s="41">
        <f>(C64+D64)/2</f>
      </c>
      <c r="F64" s="65">
        <f>IF(Inputs_OK=1,(W64+X64+Net_Bridge)/Shares,0)</f>
      </c>
      <c r="G64" s="65">
        <f>F64-Share_Price</f>
      </c>
      <c r="I64" s="58">
        <f>1</f>
      </c>
      <c r="J64" s="58">
        <f>I64*(1+IF(J$8&lt;=5,$E64,$E64+(TGR-$E64)*(J$8-5)/5))</f>
      </c>
      <c r="K64" s="58">
        <f>J64*(1+IF(K$8&lt;=5,$E64,$E64+(TGR-$E64)*(K$8-5)/5))</f>
      </c>
      <c r="L64" s="58">
        <f>K64*(1+IF(L$8&lt;=5,$E64,$E64+(TGR-$E64)*(L$8-5)/5))</f>
      </c>
      <c r="M64" s="58">
        <f>L64*(1+IF(M$8&lt;=5,$E64,$E64+(TGR-$E64)*(M$8-5)/5))</f>
      </c>
      <c r="N64" s="58">
        <f>M64*(1+IF(N$8&lt;=5,$E64,$E64+(TGR-$E64)*(N$8-5)/5))</f>
      </c>
      <c r="O64" s="58">
        <f>N64*(1+IF(O$8&lt;=5,$E64,$E64+(TGR-$E64)*(O$8-5)/5))</f>
      </c>
      <c r="P64" s="58">
        <f>O64*(1+IF(P$8&lt;=5,$E64,$E64+(TGR-$E64)*(P$8-5)/5))</f>
      </c>
      <c r="Q64" s="58">
        <f>P64*(1+IF(Q$8&lt;=5,$E64,$E64+(TGR-$E64)*(Q$8-5)/5))</f>
      </c>
      <c r="R64" s="58">
        <f>Q64*(1+IF(R$8&lt;=5,$E64,$E64+(TGR-$E64)*(R$8-5)/5))</f>
      </c>
      <c r="S64" s="58">
        <f>R64*(1+IF(S$8&lt;=5,$E64,$E64+(TGR-$E64)*(S$8-5)/5))</f>
      </c>
      <c r="T64" s="58">
        <f>INDEX($J64:$S64,1,Forecast_Years)</f>
      </c>
      <c r="U64" s="58">
        <f>INDEX($I64:$S64,1,Forecast_Years)</f>
      </c>
      <c r="V64" s="43">
        <f>Build_Flag*Base_Revenue*(T64*INDEX($J$11:$S$11,1,Forecast_Years)-NWC_Pct*(T64-U64))+(1-Build_Flag)*Base_FCF*T64</f>
      </c>
      <c r="W64" s="43">
        <f>SUMPRODUCT($J$9:$S$9,$J$10:$S$10,Build_Flag*Base_Revenue*($J64:$S64*$J$11:$S$11-NWC_Pct*($J64:$S64-$I64:$R64))+(1-Build_Flag)*Base_FCF*$J64:$S64)</f>
      </c>
      <c r="X64" s="43">
        <f>IF(Exit_Flag=1,Base_Revenue*T64*INDEX($J$12:$S$12,1,Forecast_Years)*Exit_Multiple/(1+WACC)^Forecast_Years,IF(TGR&lt;WACC,V64*(1+TGR)/(WACC-TGR)/(1+WACC)^(Forecast_Years-Mid_Year),0))</f>
      </c>
    </row>
    <row r="65" hidden="1" spans="2:24" x14ac:dyDescent="0.25" outlineLevel="1" collapsed="1">
      <c r="B65" s="25">
        <f>B64+1</f>
      </c>
      <c r="C65" s="41">
        <f>IF(F64&lt;Share_Price,E64,C64)</f>
      </c>
      <c r="D65" s="41">
        <f>IF(F64&lt;Share_Price,D64,E64)</f>
      </c>
      <c r="E65" s="41">
        <f>(C65+D65)/2</f>
      </c>
      <c r="F65" s="65">
        <f>IF(Inputs_OK=1,(W65+X65+Net_Bridge)/Shares,0)</f>
      </c>
      <c r="G65" s="65">
        <f>F65-Share_Price</f>
      </c>
      <c r="I65" s="58">
        <f>1</f>
      </c>
      <c r="J65" s="58">
        <f>I65*(1+IF(J$8&lt;=5,$E65,$E65+(TGR-$E65)*(J$8-5)/5))</f>
      </c>
      <c r="K65" s="58">
        <f>J65*(1+IF(K$8&lt;=5,$E65,$E65+(TGR-$E65)*(K$8-5)/5))</f>
      </c>
      <c r="L65" s="58">
        <f>K65*(1+IF(L$8&lt;=5,$E65,$E65+(TGR-$E65)*(L$8-5)/5))</f>
      </c>
      <c r="M65" s="58">
        <f>L65*(1+IF(M$8&lt;=5,$E65,$E65+(TGR-$E65)*(M$8-5)/5))</f>
      </c>
      <c r="N65" s="58">
        <f>M65*(1+IF(N$8&lt;=5,$E65,$E65+(TGR-$E65)*(N$8-5)/5))</f>
      </c>
      <c r="O65" s="58">
        <f>N65*(1+IF(O$8&lt;=5,$E65,$E65+(TGR-$E65)*(O$8-5)/5))</f>
      </c>
      <c r="P65" s="58">
        <f>O65*(1+IF(P$8&lt;=5,$E65,$E65+(TGR-$E65)*(P$8-5)/5))</f>
      </c>
      <c r="Q65" s="58">
        <f>P65*(1+IF(Q$8&lt;=5,$E65,$E65+(TGR-$E65)*(Q$8-5)/5))</f>
      </c>
      <c r="R65" s="58">
        <f>Q65*(1+IF(R$8&lt;=5,$E65,$E65+(TGR-$E65)*(R$8-5)/5))</f>
      </c>
      <c r="S65" s="58">
        <f>R65*(1+IF(S$8&lt;=5,$E65,$E65+(TGR-$E65)*(S$8-5)/5))</f>
      </c>
      <c r="T65" s="58">
        <f>INDEX($J65:$S65,1,Forecast_Years)</f>
      </c>
      <c r="U65" s="58">
        <f>INDEX($I65:$S65,1,Forecast_Years)</f>
      </c>
      <c r="V65" s="43">
        <f>Build_Flag*Base_Revenue*(T65*INDEX($J$11:$S$11,1,Forecast_Years)-NWC_Pct*(T65-U65))+(1-Build_Flag)*Base_FCF*T65</f>
      </c>
      <c r="W65" s="43">
        <f>SUMPRODUCT($J$9:$S$9,$J$10:$S$10,Build_Flag*Base_Revenue*($J65:$S65*$J$11:$S$11-NWC_Pct*($J65:$S65-$I65:$R65))+(1-Build_Flag)*Base_FCF*$J65:$S65)</f>
      </c>
      <c r="X65" s="43">
        <f>IF(Exit_Flag=1,Base_Revenue*T65*INDEX($J$12:$S$12,1,Forecast_Years)*Exit_Multiple/(1+WACC)^Forecast_Years,IF(TGR&lt;WACC,V65*(1+TGR)/(WACC-TGR)/(1+WACC)^(Forecast_Years-Mid_Year),0))</f>
      </c>
    </row>
    <row r="66" hidden="1" spans="2:24" x14ac:dyDescent="0.25" outlineLevel="1" collapsed="1">
      <c r="B66" s="25">
        <f>B65+1</f>
      </c>
      <c r="C66" s="41">
        <f>IF(F65&lt;Share_Price,E65,C65)</f>
      </c>
      <c r="D66" s="41">
        <f>IF(F65&lt;Share_Price,D65,E65)</f>
      </c>
      <c r="E66" s="41">
        <f>(C66+D66)/2</f>
      </c>
      <c r="F66" s="65">
        <f>IF(Inputs_OK=1,(W66+X66+Net_Bridge)/Shares,0)</f>
      </c>
      <c r="G66" s="65">
        <f>F66-Share_Price</f>
      </c>
      <c r="I66" s="58">
        <f>1</f>
      </c>
      <c r="J66" s="58">
        <f>I66*(1+IF(J$8&lt;=5,$E66,$E66+(TGR-$E66)*(J$8-5)/5))</f>
      </c>
      <c r="K66" s="58">
        <f>J66*(1+IF(K$8&lt;=5,$E66,$E66+(TGR-$E66)*(K$8-5)/5))</f>
      </c>
      <c r="L66" s="58">
        <f>K66*(1+IF(L$8&lt;=5,$E66,$E66+(TGR-$E66)*(L$8-5)/5))</f>
      </c>
      <c r="M66" s="58">
        <f>L66*(1+IF(M$8&lt;=5,$E66,$E66+(TGR-$E66)*(M$8-5)/5))</f>
      </c>
      <c r="N66" s="58">
        <f>M66*(1+IF(N$8&lt;=5,$E66,$E66+(TGR-$E66)*(N$8-5)/5))</f>
      </c>
      <c r="O66" s="58">
        <f>N66*(1+IF(O$8&lt;=5,$E66,$E66+(TGR-$E66)*(O$8-5)/5))</f>
      </c>
      <c r="P66" s="58">
        <f>O66*(1+IF(P$8&lt;=5,$E66,$E66+(TGR-$E66)*(P$8-5)/5))</f>
      </c>
      <c r="Q66" s="58">
        <f>P66*(1+IF(Q$8&lt;=5,$E66,$E66+(TGR-$E66)*(Q$8-5)/5))</f>
      </c>
      <c r="R66" s="58">
        <f>Q66*(1+IF(R$8&lt;=5,$E66,$E66+(TGR-$E66)*(R$8-5)/5))</f>
      </c>
      <c r="S66" s="58">
        <f>R66*(1+IF(S$8&lt;=5,$E66,$E66+(TGR-$E66)*(S$8-5)/5))</f>
      </c>
      <c r="T66" s="58">
        <f>INDEX($J66:$S66,1,Forecast_Years)</f>
      </c>
      <c r="U66" s="58">
        <f>INDEX($I66:$S66,1,Forecast_Years)</f>
      </c>
      <c r="V66" s="43">
        <f>Build_Flag*Base_Revenue*(T66*INDEX($J$11:$S$11,1,Forecast_Years)-NWC_Pct*(T66-U66))+(1-Build_Flag)*Base_FCF*T66</f>
      </c>
      <c r="W66" s="43">
        <f>SUMPRODUCT($J$9:$S$9,$J$10:$S$10,Build_Flag*Base_Revenue*($J66:$S66*$J$11:$S$11-NWC_Pct*($J66:$S66-$I66:$R66))+(1-Build_Flag)*Base_FCF*$J66:$S66)</f>
      </c>
      <c r="X66" s="43">
        <f>IF(Exit_Flag=1,Base_Revenue*T66*INDEX($J$12:$S$12,1,Forecast_Years)*Exit_Multiple/(1+WACC)^Forecast_Years,IF(TGR&lt;WACC,V66*(1+TGR)/(WACC-TGR)/(1+WACC)^(Forecast_Years-Mid_Year),0))</f>
      </c>
    </row>
    <row r="67" hidden="1" spans="2:24" x14ac:dyDescent="0.25" outlineLevel="1" collapsed="1">
      <c r="B67" s="25">
        <f>B66+1</f>
      </c>
      <c r="C67" s="41">
        <f>IF(F66&lt;Share_Price,E66,C66)</f>
      </c>
      <c r="D67" s="41">
        <f>IF(F66&lt;Share_Price,D66,E66)</f>
      </c>
      <c r="E67" s="41">
        <f>(C67+D67)/2</f>
      </c>
      <c r="F67" s="65">
        <f>IF(Inputs_OK=1,(W67+X67+Net_Bridge)/Shares,0)</f>
      </c>
      <c r="G67" s="65">
        <f>F67-Share_Price</f>
      </c>
      <c r="I67" s="58">
        <f>1</f>
      </c>
      <c r="J67" s="58">
        <f>I67*(1+IF(J$8&lt;=5,$E67,$E67+(TGR-$E67)*(J$8-5)/5))</f>
      </c>
      <c r="K67" s="58">
        <f>J67*(1+IF(K$8&lt;=5,$E67,$E67+(TGR-$E67)*(K$8-5)/5))</f>
      </c>
      <c r="L67" s="58">
        <f>K67*(1+IF(L$8&lt;=5,$E67,$E67+(TGR-$E67)*(L$8-5)/5))</f>
      </c>
      <c r="M67" s="58">
        <f>L67*(1+IF(M$8&lt;=5,$E67,$E67+(TGR-$E67)*(M$8-5)/5))</f>
      </c>
      <c r="N67" s="58">
        <f>M67*(1+IF(N$8&lt;=5,$E67,$E67+(TGR-$E67)*(N$8-5)/5))</f>
      </c>
      <c r="O67" s="58">
        <f>N67*(1+IF(O$8&lt;=5,$E67,$E67+(TGR-$E67)*(O$8-5)/5))</f>
      </c>
      <c r="P67" s="58">
        <f>O67*(1+IF(P$8&lt;=5,$E67,$E67+(TGR-$E67)*(P$8-5)/5))</f>
      </c>
      <c r="Q67" s="58">
        <f>P67*(1+IF(Q$8&lt;=5,$E67,$E67+(TGR-$E67)*(Q$8-5)/5))</f>
      </c>
      <c r="R67" s="58">
        <f>Q67*(1+IF(R$8&lt;=5,$E67,$E67+(TGR-$E67)*(R$8-5)/5))</f>
      </c>
      <c r="S67" s="58">
        <f>R67*(1+IF(S$8&lt;=5,$E67,$E67+(TGR-$E67)*(S$8-5)/5))</f>
      </c>
      <c r="T67" s="58">
        <f>INDEX($J67:$S67,1,Forecast_Years)</f>
      </c>
      <c r="U67" s="58">
        <f>INDEX($I67:$S67,1,Forecast_Years)</f>
      </c>
      <c r="V67" s="43">
        <f>Build_Flag*Base_Revenue*(T67*INDEX($J$11:$S$11,1,Forecast_Years)-NWC_Pct*(T67-U67))+(1-Build_Flag)*Base_FCF*T67</f>
      </c>
      <c r="W67" s="43">
        <f>SUMPRODUCT($J$9:$S$9,$J$10:$S$10,Build_Flag*Base_Revenue*($J67:$S67*$J$11:$S$11-NWC_Pct*($J67:$S67-$I67:$R67))+(1-Build_Flag)*Base_FCF*$J67:$S67)</f>
      </c>
      <c r="X67" s="43">
        <f>IF(Exit_Flag=1,Base_Revenue*T67*INDEX($J$12:$S$12,1,Forecast_Years)*Exit_Multiple/(1+WACC)^Forecast_Years,IF(TGR&lt;WACC,V67*(1+TGR)/(WACC-TGR)/(1+WACC)^(Forecast_Years-Mid_Year),0))</f>
      </c>
    </row>
    <row r="68" hidden="1" spans="2:24" x14ac:dyDescent="0.25" outlineLevel="1" collapsed="1">
      <c r="B68" s="25">
        <f>B67+1</f>
      </c>
      <c r="C68" s="41">
        <f>IF(F67&lt;Share_Price,E67,C67)</f>
      </c>
      <c r="D68" s="41">
        <f>IF(F67&lt;Share_Price,D67,E67)</f>
      </c>
      <c r="E68" s="41">
        <f>(C68+D68)/2</f>
      </c>
      <c r="F68" s="65">
        <f>IF(Inputs_OK=1,(W68+X68+Net_Bridge)/Shares,0)</f>
      </c>
      <c r="G68" s="65">
        <f>F68-Share_Price</f>
      </c>
      <c r="I68" s="58">
        <f>1</f>
      </c>
      <c r="J68" s="58">
        <f>I68*(1+IF(J$8&lt;=5,$E68,$E68+(TGR-$E68)*(J$8-5)/5))</f>
      </c>
      <c r="K68" s="58">
        <f>J68*(1+IF(K$8&lt;=5,$E68,$E68+(TGR-$E68)*(K$8-5)/5))</f>
      </c>
      <c r="L68" s="58">
        <f>K68*(1+IF(L$8&lt;=5,$E68,$E68+(TGR-$E68)*(L$8-5)/5))</f>
      </c>
      <c r="M68" s="58">
        <f>L68*(1+IF(M$8&lt;=5,$E68,$E68+(TGR-$E68)*(M$8-5)/5))</f>
      </c>
      <c r="N68" s="58">
        <f>M68*(1+IF(N$8&lt;=5,$E68,$E68+(TGR-$E68)*(N$8-5)/5))</f>
      </c>
      <c r="O68" s="58">
        <f>N68*(1+IF(O$8&lt;=5,$E68,$E68+(TGR-$E68)*(O$8-5)/5))</f>
      </c>
      <c r="P68" s="58">
        <f>O68*(1+IF(P$8&lt;=5,$E68,$E68+(TGR-$E68)*(P$8-5)/5))</f>
      </c>
      <c r="Q68" s="58">
        <f>P68*(1+IF(Q$8&lt;=5,$E68,$E68+(TGR-$E68)*(Q$8-5)/5))</f>
      </c>
      <c r="R68" s="58">
        <f>Q68*(1+IF(R$8&lt;=5,$E68,$E68+(TGR-$E68)*(R$8-5)/5))</f>
      </c>
      <c r="S68" s="58">
        <f>R68*(1+IF(S$8&lt;=5,$E68,$E68+(TGR-$E68)*(S$8-5)/5))</f>
      </c>
      <c r="T68" s="58">
        <f>INDEX($J68:$S68,1,Forecast_Years)</f>
      </c>
      <c r="U68" s="58">
        <f>INDEX($I68:$S68,1,Forecast_Years)</f>
      </c>
      <c r="V68" s="43">
        <f>Build_Flag*Base_Revenue*(T68*INDEX($J$11:$S$11,1,Forecast_Years)-NWC_Pct*(T68-U68))+(1-Build_Flag)*Base_FCF*T68</f>
      </c>
      <c r="W68" s="43">
        <f>SUMPRODUCT($J$9:$S$9,$J$10:$S$10,Build_Flag*Base_Revenue*($J68:$S68*$J$11:$S$11-NWC_Pct*($J68:$S68-$I68:$R68))+(1-Build_Flag)*Base_FCF*$J68:$S68)</f>
      </c>
      <c r="X68" s="43">
        <f>IF(Exit_Flag=1,Base_Revenue*T68*INDEX($J$12:$S$12,1,Forecast_Years)*Exit_Multiple/(1+WACC)^Forecast_Years,IF(TGR&lt;WACC,V68*(1+TGR)/(WACC-TGR)/(1+WACC)^(Forecast_Years-Mid_Year),0))</f>
      </c>
    </row>
    <row r="69" hidden="1" spans="2:24" x14ac:dyDescent="0.25" outlineLevel="1" collapsed="1">
      <c r="B69" s="25">
        <f>B68+1</f>
      </c>
      <c r="C69" s="41">
        <f>IF(F68&lt;Share_Price,E68,C68)</f>
      </c>
      <c r="D69" s="41">
        <f>IF(F68&lt;Share_Price,D68,E68)</f>
      </c>
      <c r="E69" s="41">
        <f>(C69+D69)/2</f>
      </c>
      <c r="F69" s="65">
        <f>IF(Inputs_OK=1,(W69+X69+Net_Bridge)/Shares,0)</f>
      </c>
      <c r="G69" s="65">
        <f>F69-Share_Price</f>
      </c>
      <c r="I69" s="58">
        <f>1</f>
      </c>
      <c r="J69" s="58">
        <f>I69*(1+IF(J$8&lt;=5,$E69,$E69+(TGR-$E69)*(J$8-5)/5))</f>
      </c>
      <c r="K69" s="58">
        <f>J69*(1+IF(K$8&lt;=5,$E69,$E69+(TGR-$E69)*(K$8-5)/5))</f>
      </c>
      <c r="L69" s="58">
        <f>K69*(1+IF(L$8&lt;=5,$E69,$E69+(TGR-$E69)*(L$8-5)/5))</f>
      </c>
      <c r="M69" s="58">
        <f>L69*(1+IF(M$8&lt;=5,$E69,$E69+(TGR-$E69)*(M$8-5)/5))</f>
      </c>
      <c r="N69" s="58">
        <f>M69*(1+IF(N$8&lt;=5,$E69,$E69+(TGR-$E69)*(N$8-5)/5))</f>
      </c>
      <c r="O69" s="58">
        <f>N69*(1+IF(O$8&lt;=5,$E69,$E69+(TGR-$E69)*(O$8-5)/5))</f>
      </c>
      <c r="P69" s="58">
        <f>O69*(1+IF(P$8&lt;=5,$E69,$E69+(TGR-$E69)*(P$8-5)/5))</f>
      </c>
      <c r="Q69" s="58">
        <f>P69*(1+IF(Q$8&lt;=5,$E69,$E69+(TGR-$E69)*(Q$8-5)/5))</f>
      </c>
      <c r="R69" s="58">
        <f>Q69*(1+IF(R$8&lt;=5,$E69,$E69+(TGR-$E69)*(R$8-5)/5))</f>
      </c>
      <c r="S69" s="58">
        <f>R69*(1+IF(S$8&lt;=5,$E69,$E69+(TGR-$E69)*(S$8-5)/5))</f>
      </c>
      <c r="T69" s="58">
        <f>INDEX($J69:$S69,1,Forecast_Years)</f>
      </c>
      <c r="U69" s="58">
        <f>INDEX($I69:$S69,1,Forecast_Years)</f>
      </c>
      <c r="V69" s="43">
        <f>Build_Flag*Base_Revenue*(T69*INDEX($J$11:$S$11,1,Forecast_Years)-NWC_Pct*(T69-U69))+(1-Build_Flag)*Base_FCF*T69</f>
      </c>
      <c r="W69" s="43">
        <f>SUMPRODUCT($J$9:$S$9,$J$10:$S$10,Build_Flag*Base_Revenue*($J69:$S69*$J$11:$S$11-NWC_Pct*($J69:$S69-$I69:$R69))+(1-Build_Flag)*Base_FCF*$J69:$S69)</f>
      </c>
      <c r="X69" s="43">
        <f>IF(Exit_Flag=1,Base_Revenue*T69*INDEX($J$12:$S$12,1,Forecast_Years)*Exit_Multiple/(1+WACC)^Forecast_Years,IF(TGR&lt;WACC,V69*(1+TGR)/(WACC-TGR)/(1+WACC)^(Forecast_Years-Mid_Year),0))</f>
      </c>
    </row>
    <row r="70" hidden="1" spans="2:24" x14ac:dyDescent="0.25" outlineLevel="1" collapsed="1">
      <c r="B70" s="25">
        <f>B69+1</f>
      </c>
      <c r="C70" s="41">
        <f>IF(F69&lt;Share_Price,E69,C69)</f>
      </c>
      <c r="D70" s="41">
        <f>IF(F69&lt;Share_Price,D69,E69)</f>
      </c>
      <c r="E70" s="41">
        <f>(C70+D70)/2</f>
      </c>
      <c r="F70" s="65">
        <f>IF(Inputs_OK=1,(W70+X70+Net_Bridge)/Shares,0)</f>
      </c>
      <c r="G70" s="65">
        <f>F70-Share_Price</f>
      </c>
      <c r="I70" s="58">
        <f>1</f>
      </c>
      <c r="J70" s="58">
        <f>I70*(1+IF(J$8&lt;=5,$E70,$E70+(TGR-$E70)*(J$8-5)/5))</f>
      </c>
      <c r="K70" s="58">
        <f>J70*(1+IF(K$8&lt;=5,$E70,$E70+(TGR-$E70)*(K$8-5)/5))</f>
      </c>
      <c r="L70" s="58">
        <f>K70*(1+IF(L$8&lt;=5,$E70,$E70+(TGR-$E70)*(L$8-5)/5))</f>
      </c>
      <c r="M70" s="58">
        <f>L70*(1+IF(M$8&lt;=5,$E70,$E70+(TGR-$E70)*(M$8-5)/5))</f>
      </c>
      <c r="N70" s="58">
        <f>M70*(1+IF(N$8&lt;=5,$E70,$E70+(TGR-$E70)*(N$8-5)/5))</f>
      </c>
      <c r="O70" s="58">
        <f>N70*(1+IF(O$8&lt;=5,$E70,$E70+(TGR-$E70)*(O$8-5)/5))</f>
      </c>
      <c r="P70" s="58">
        <f>O70*(1+IF(P$8&lt;=5,$E70,$E70+(TGR-$E70)*(P$8-5)/5))</f>
      </c>
      <c r="Q70" s="58">
        <f>P70*(1+IF(Q$8&lt;=5,$E70,$E70+(TGR-$E70)*(Q$8-5)/5))</f>
      </c>
      <c r="R70" s="58">
        <f>Q70*(1+IF(R$8&lt;=5,$E70,$E70+(TGR-$E70)*(R$8-5)/5))</f>
      </c>
      <c r="S70" s="58">
        <f>R70*(1+IF(S$8&lt;=5,$E70,$E70+(TGR-$E70)*(S$8-5)/5))</f>
      </c>
      <c r="T70" s="58">
        <f>INDEX($J70:$S70,1,Forecast_Years)</f>
      </c>
      <c r="U70" s="58">
        <f>INDEX($I70:$S70,1,Forecast_Years)</f>
      </c>
      <c r="V70" s="43">
        <f>Build_Flag*Base_Revenue*(T70*INDEX($J$11:$S$11,1,Forecast_Years)-NWC_Pct*(T70-U70))+(1-Build_Flag)*Base_FCF*T70</f>
      </c>
      <c r="W70" s="43">
        <f>SUMPRODUCT($J$9:$S$9,$J$10:$S$10,Build_Flag*Base_Revenue*($J70:$S70*$J$11:$S$11-NWC_Pct*($J70:$S70-$I70:$R70))+(1-Build_Flag)*Base_FCF*$J70:$S70)</f>
      </c>
      <c r="X70" s="43">
        <f>IF(Exit_Flag=1,Base_Revenue*T70*INDEX($J$12:$S$12,1,Forecast_Years)*Exit_Multiple/(1+WACC)^Forecast_Years,IF(TGR&lt;WACC,V70*(1+TGR)/(WACC-TGR)/(1+WACC)^(Forecast_Years-Mid_Year),0))</f>
      </c>
    </row>
    <row r="71" hidden="1" spans="2:24" x14ac:dyDescent="0.25" outlineLevel="1" collapsed="1">
      <c r="B71" s="25">
        <f>B70+1</f>
      </c>
      <c r="C71" s="41">
        <f>IF(F70&lt;Share_Price,E70,C70)</f>
      </c>
      <c r="D71" s="41">
        <f>IF(F70&lt;Share_Price,D70,E70)</f>
      </c>
      <c r="E71" s="41">
        <f>(C71+D71)/2</f>
      </c>
      <c r="F71" s="65">
        <f>IF(Inputs_OK=1,(W71+X71+Net_Bridge)/Shares,0)</f>
      </c>
      <c r="G71" s="65">
        <f>F71-Share_Price</f>
      </c>
      <c r="I71" s="58">
        <f>1</f>
      </c>
      <c r="J71" s="58">
        <f>I71*(1+IF(J$8&lt;=5,$E71,$E71+(TGR-$E71)*(J$8-5)/5))</f>
      </c>
      <c r="K71" s="58">
        <f>J71*(1+IF(K$8&lt;=5,$E71,$E71+(TGR-$E71)*(K$8-5)/5))</f>
      </c>
      <c r="L71" s="58">
        <f>K71*(1+IF(L$8&lt;=5,$E71,$E71+(TGR-$E71)*(L$8-5)/5))</f>
      </c>
      <c r="M71" s="58">
        <f>L71*(1+IF(M$8&lt;=5,$E71,$E71+(TGR-$E71)*(M$8-5)/5))</f>
      </c>
      <c r="N71" s="58">
        <f>M71*(1+IF(N$8&lt;=5,$E71,$E71+(TGR-$E71)*(N$8-5)/5))</f>
      </c>
      <c r="O71" s="58">
        <f>N71*(1+IF(O$8&lt;=5,$E71,$E71+(TGR-$E71)*(O$8-5)/5))</f>
      </c>
      <c r="P71" s="58">
        <f>O71*(1+IF(P$8&lt;=5,$E71,$E71+(TGR-$E71)*(P$8-5)/5))</f>
      </c>
      <c r="Q71" s="58">
        <f>P71*(1+IF(Q$8&lt;=5,$E71,$E71+(TGR-$E71)*(Q$8-5)/5))</f>
      </c>
      <c r="R71" s="58">
        <f>Q71*(1+IF(R$8&lt;=5,$E71,$E71+(TGR-$E71)*(R$8-5)/5))</f>
      </c>
      <c r="S71" s="58">
        <f>R71*(1+IF(S$8&lt;=5,$E71,$E71+(TGR-$E71)*(S$8-5)/5))</f>
      </c>
      <c r="T71" s="58">
        <f>INDEX($J71:$S71,1,Forecast_Years)</f>
      </c>
      <c r="U71" s="58">
        <f>INDEX($I71:$S71,1,Forecast_Years)</f>
      </c>
      <c r="V71" s="43">
        <f>Build_Flag*Base_Revenue*(T71*INDEX($J$11:$S$11,1,Forecast_Years)-NWC_Pct*(T71-U71))+(1-Build_Flag)*Base_FCF*T71</f>
      </c>
      <c r="W71" s="43">
        <f>SUMPRODUCT($J$9:$S$9,$J$10:$S$10,Build_Flag*Base_Revenue*($J71:$S71*$J$11:$S$11-NWC_Pct*($J71:$S71-$I71:$R71))+(1-Build_Flag)*Base_FCF*$J71:$S71)</f>
      </c>
      <c r="X71" s="43">
        <f>IF(Exit_Flag=1,Base_Revenue*T71*INDEX($J$12:$S$12,1,Forecast_Years)*Exit_Multiple/(1+WACC)^Forecast_Years,IF(TGR&lt;WACC,V71*(1+TGR)/(WACC-TGR)/(1+WACC)^(Forecast_Years-Mid_Year),0))</f>
      </c>
    </row>
    <row r="72" hidden="1" spans="2:24" x14ac:dyDescent="0.25" outlineLevel="1" collapsed="1">
      <c r="B72" s="25">
        <f>B71+1</f>
      </c>
      <c r="C72" s="41">
        <f>IF(F71&lt;Share_Price,E71,C71)</f>
      </c>
      <c r="D72" s="41">
        <f>IF(F71&lt;Share_Price,D71,E71)</f>
      </c>
      <c r="E72" s="41">
        <f>(C72+D72)/2</f>
      </c>
      <c r="F72" s="65">
        <f>IF(Inputs_OK=1,(W72+X72+Net_Bridge)/Shares,0)</f>
      </c>
      <c r="G72" s="65">
        <f>F72-Share_Price</f>
      </c>
      <c r="I72" s="58">
        <f>1</f>
      </c>
      <c r="J72" s="58">
        <f>I72*(1+IF(J$8&lt;=5,$E72,$E72+(TGR-$E72)*(J$8-5)/5))</f>
      </c>
      <c r="K72" s="58">
        <f>J72*(1+IF(K$8&lt;=5,$E72,$E72+(TGR-$E72)*(K$8-5)/5))</f>
      </c>
      <c r="L72" s="58">
        <f>K72*(1+IF(L$8&lt;=5,$E72,$E72+(TGR-$E72)*(L$8-5)/5))</f>
      </c>
      <c r="M72" s="58">
        <f>L72*(1+IF(M$8&lt;=5,$E72,$E72+(TGR-$E72)*(M$8-5)/5))</f>
      </c>
      <c r="N72" s="58">
        <f>M72*(1+IF(N$8&lt;=5,$E72,$E72+(TGR-$E72)*(N$8-5)/5))</f>
      </c>
      <c r="O72" s="58">
        <f>N72*(1+IF(O$8&lt;=5,$E72,$E72+(TGR-$E72)*(O$8-5)/5))</f>
      </c>
      <c r="P72" s="58">
        <f>O72*(1+IF(P$8&lt;=5,$E72,$E72+(TGR-$E72)*(P$8-5)/5))</f>
      </c>
      <c r="Q72" s="58">
        <f>P72*(1+IF(Q$8&lt;=5,$E72,$E72+(TGR-$E72)*(Q$8-5)/5))</f>
      </c>
      <c r="R72" s="58">
        <f>Q72*(1+IF(R$8&lt;=5,$E72,$E72+(TGR-$E72)*(R$8-5)/5))</f>
      </c>
      <c r="S72" s="58">
        <f>R72*(1+IF(S$8&lt;=5,$E72,$E72+(TGR-$E72)*(S$8-5)/5))</f>
      </c>
      <c r="T72" s="58">
        <f>INDEX($J72:$S72,1,Forecast_Years)</f>
      </c>
      <c r="U72" s="58">
        <f>INDEX($I72:$S72,1,Forecast_Years)</f>
      </c>
      <c r="V72" s="43">
        <f>Build_Flag*Base_Revenue*(T72*INDEX($J$11:$S$11,1,Forecast_Years)-NWC_Pct*(T72-U72))+(1-Build_Flag)*Base_FCF*T72</f>
      </c>
      <c r="W72" s="43">
        <f>SUMPRODUCT($J$9:$S$9,$J$10:$S$10,Build_Flag*Base_Revenue*($J72:$S72*$J$11:$S$11-NWC_Pct*($J72:$S72-$I72:$R72))+(1-Build_Flag)*Base_FCF*$J72:$S72)</f>
      </c>
      <c r="X72" s="43">
        <f>IF(Exit_Flag=1,Base_Revenue*T72*INDEX($J$12:$S$12,1,Forecast_Years)*Exit_Multiple/(1+WACC)^Forecast_Years,IF(TGR&lt;WACC,V72*(1+TGR)/(WACC-TGR)/(1+WACC)^(Forecast_Years-Mid_Year),0))</f>
      </c>
    </row>
    <row r="73" hidden="1" spans="2:24" x14ac:dyDescent="0.25" outlineLevel="1" collapsed="1">
      <c r="B73" s="25">
        <f>B72+1</f>
      </c>
      <c r="C73" s="41">
        <f>IF(F72&lt;Share_Price,E72,C72)</f>
      </c>
      <c r="D73" s="41">
        <f>IF(F72&lt;Share_Price,D72,E72)</f>
      </c>
      <c r="E73" s="41">
        <f>(C73+D73)/2</f>
      </c>
      <c r="F73" s="65">
        <f>IF(Inputs_OK=1,(W73+X73+Net_Bridge)/Shares,0)</f>
      </c>
      <c r="G73" s="65">
        <f>F73-Share_Price</f>
      </c>
      <c r="I73" s="58">
        <f>1</f>
      </c>
      <c r="J73" s="58">
        <f>I73*(1+IF(J$8&lt;=5,$E73,$E73+(TGR-$E73)*(J$8-5)/5))</f>
      </c>
      <c r="K73" s="58">
        <f>J73*(1+IF(K$8&lt;=5,$E73,$E73+(TGR-$E73)*(K$8-5)/5))</f>
      </c>
      <c r="L73" s="58">
        <f>K73*(1+IF(L$8&lt;=5,$E73,$E73+(TGR-$E73)*(L$8-5)/5))</f>
      </c>
      <c r="M73" s="58">
        <f>L73*(1+IF(M$8&lt;=5,$E73,$E73+(TGR-$E73)*(M$8-5)/5))</f>
      </c>
      <c r="N73" s="58">
        <f>M73*(1+IF(N$8&lt;=5,$E73,$E73+(TGR-$E73)*(N$8-5)/5))</f>
      </c>
      <c r="O73" s="58">
        <f>N73*(1+IF(O$8&lt;=5,$E73,$E73+(TGR-$E73)*(O$8-5)/5))</f>
      </c>
      <c r="P73" s="58">
        <f>O73*(1+IF(P$8&lt;=5,$E73,$E73+(TGR-$E73)*(P$8-5)/5))</f>
      </c>
      <c r="Q73" s="58">
        <f>P73*(1+IF(Q$8&lt;=5,$E73,$E73+(TGR-$E73)*(Q$8-5)/5))</f>
      </c>
      <c r="R73" s="58">
        <f>Q73*(1+IF(R$8&lt;=5,$E73,$E73+(TGR-$E73)*(R$8-5)/5))</f>
      </c>
      <c r="S73" s="58">
        <f>R73*(1+IF(S$8&lt;=5,$E73,$E73+(TGR-$E73)*(S$8-5)/5))</f>
      </c>
      <c r="T73" s="58">
        <f>INDEX($J73:$S73,1,Forecast_Years)</f>
      </c>
      <c r="U73" s="58">
        <f>INDEX($I73:$S73,1,Forecast_Years)</f>
      </c>
      <c r="V73" s="43">
        <f>Build_Flag*Base_Revenue*(T73*INDEX($J$11:$S$11,1,Forecast_Years)-NWC_Pct*(T73-U73))+(1-Build_Flag)*Base_FCF*T73</f>
      </c>
      <c r="W73" s="43">
        <f>SUMPRODUCT($J$9:$S$9,$J$10:$S$10,Build_Flag*Base_Revenue*($J73:$S73*$J$11:$S$11-NWC_Pct*($J73:$S73-$I73:$R73))+(1-Build_Flag)*Base_FCF*$J73:$S73)</f>
      </c>
      <c r="X73" s="43">
        <f>IF(Exit_Flag=1,Base_Revenue*T73*INDEX($J$12:$S$12,1,Forecast_Years)*Exit_Multiple/(1+WACC)^Forecast_Years,IF(TGR&lt;WACC,V73*(1+TGR)/(WACC-TGR)/(1+WACC)^(Forecast_Years-Mid_Year),0))</f>
      </c>
    </row>
    <row r="74" hidden="1" spans="2:24" x14ac:dyDescent="0.25" outlineLevel="1" collapsed="1">
      <c r="B74" s="25">
        <f>B73+1</f>
      </c>
      <c r="C74" s="41">
        <f>IF(F73&lt;Share_Price,E73,C73)</f>
      </c>
      <c r="D74" s="41">
        <f>IF(F73&lt;Share_Price,D73,E73)</f>
      </c>
      <c r="E74" s="41">
        <f>(C74+D74)/2</f>
      </c>
      <c r="F74" s="65">
        <f>IF(Inputs_OK=1,(W74+X74+Net_Bridge)/Shares,0)</f>
      </c>
      <c r="G74" s="65">
        <f>F74-Share_Price</f>
      </c>
      <c r="I74" s="58">
        <f>1</f>
      </c>
      <c r="J74" s="58">
        <f>I74*(1+IF(J$8&lt;=5,$E74,$E74+(TGR-$E74)*(J$8-5)/5))</f>
      </c>
      <c r="K74" s="58">
        <f>J74*(1+IF(K$8&lt;=5,$E74,$E74+(TGR-$E74)*(K$8-5)/5))</f>
      </c>
      <c r="L74" s="58">
        <f>K74*(1+IF(L$8&lt;=5,$E74,$E74+(TGR-$E74)*(L$8-5)/5))</f>
      </c>
      <c r="M74" s="58">
        <f>L74*(1+IF(M$8&lt;=5,$E74,$E74+(TGR-$E74)*(M$8-5)/5))</f>
      </c>
      <c r="N74" s="58">
        <f>M74*(1+IF(N$8&lt;=5,$E74,$E74+(TGR-$E74)*(N$8-5)/5))</f>
      </c>
      <c r="O74" s="58">
        <f>N74*(1+IF(O$8&lt;=5,$E74,$E74+(TGR-$E74)*(O$8-5)/5))</f>
      </c>
      <c r="P74" s="58">
        <f>O74*(1+IF(P$8&lt;=5,$E74,$E74+(TGR-$E74)*(P$8-5)/5))</f>
      </c>
      <c r="Q74" s="58">
        <f>P74*(1+IF(Q$8&lt;=5,$E74,$E74+(TGR-$E74)*(Q$8-5)/5))</f>
      </c>
      <c r="R74" s="58">
        <f>Q74*(1+IF(R$8&lt;=5,$E74,$E74+(TGR-$E74)*(R$8-5)/5))</f>
      </c>
      <c r="S74" s="58">
        <f>R74*(1+IF(S$8&lt;=5,$E74,$E74+(TGR-$E74)*(S$8-5)/5))</f>
      </c>
      <c r="T74" s="58">
        <f>INDEX($J74:$S74,1,Forecast_Years)</f>
      </c>
      <c r="U74" s="58">
        <f>INDEX($I74:$S74,1,Forecast_Years)</f>
      </c>
      <c r="V74" s="43">
        <f>Build_Flag*Base_Revenue*(T74*INDEX($J$11:$S$11,1,Forecast_Years)-NWC_Pct*(T74-U74))+(1-Build_Flag)*Base_FCF*T74</f>
      </c>
      <c r="W74" s="43">
        <f>SUMPRODUCT($J$9:$S$9,$J$10:$S$10,Build_Flag*Base_Revenue*($J74:$S74*$J$11:$S$11-NWC_Pct*($J74:$S74-$I74:$R74))+(1-Build_Flag)*Base_FCF*$J74:$S74)</f>
      </c>
      <c r="X74" s="43">
        <f>IF(Exit_Flag=1,Base_Revenue*T74*INDEX($J$12:$S$12,1,Forecast_Years)*Exit_Multiple/(1+WACC)^Forecast_Years,IF(TGR&lt;WACC,V74*(1+TGR)/(WACC-TGR)/(1+WACC)^(Forecast_Years-Mid_Year),0))</f>
      </c>
    </row>
    <row r="75" hidden="1" spans="2:24" x14ac:dyDescent="0.25" outlineLevel="1" collapsed="1">
      <c r="B75" s="25">
        <f>B74+1</f>
      </c>
      <c r="C75" s="41">
        <f>IF(F74&lt;Share_Price,E74,C74)</f>
      </c>
      <c r="D75" s="41">
        <f>IF(F74&lt;Share_Price,D74,E74)</f>
      </c>
      <c r="E75" s="41">
        <f>(C75+D75)/2</f>
      </c>
      <c r="F75" s="65">
        <f>IF(Inputs_OK=1,(W75+X75+Net_Bridge)/Shares,0)</f>
      </c>
      <c r="G75" s="65">
        <f>F75-Share_Price</f>
      </c>
      <c r="I75" s="58">
        <f>1</f>
      </c>
      <c r="J75" s="58">
        <f>I75*(1+IF(J$8&lt;=5,$E75,$E75+(TGR-$E75)*(J$8-5)/5))</f>
      </c>
      <c r="K75" s="58">
        <f>J75*(1+IF(K$8&lt;=5,$E75,$E75+(TGR-$E75)*(K$8-5)/5))</f>
      </c>
      <c r="L75" s="58">
        <f>K75*(1+IF(L$8&lt;=5,$E75,$E75+(TGR-$E75)*(L$8-5)/5))</f>
      </c>
      <c r="M75" s="58">
        <f>L75*(1+IF(M$8&lt;=5,$E75,$E75+(TGR-$E75)*(M$8-5)/5))</f>
      </c>
      <c r="N75" s="58">
        <f>M75*(1+IF(N$8&lt;=5,$E75,$E75+(TGR-$E75)*(N$8-5)/5))</f>
      </c>
      <c r="O75" s="58">
        <f>N75*(1+IF(O$8&lt;=5,$E75,$E75+(TGR-$E75)*(O$8-5)/5))</f>
      </c>
      <c r="P75" s="58">
        <f>O75*(1+IF(P$8&lt;=5,$E75,$E75+(TGR-$E75)*(P$8-5)/5))</f>
      </c>
      <c r="Q75" s="58">
        <f>P75*(1+IF(Q$8&lt;=5,$E75,$E75+(TGR-$E75)*(Q$8-5)/5))</f>
      </c>
      <c r="R75" s="58">
        <f>Q75*(1+IF(R$8&lt;=5,$E75,$E75+(TGR-$E75)*(R$8-5)/5))</f>
      </c>
      <c r="S75" s="58">
        <f>R75*(1+IF(S$8&lt;=5,$E75,$E75+(TGR-$E75)*(S$8-5)/5))</f>
      </c>
      <c r="T75" s="58">
        <f>INDEX($J75:$S75,1,Forecast_Years)</f>
      </c>
      <c r="U75" s="58">
        <f>INDEX($I75:$S75,1,Forecast_Years)</f>
      </c>
      <c r="V75" s="43">
        <f>Build_Flag*Base_Revenue*(T75*INDEX($J$11:$S$11,1,Forecast_Years)-NWC_Pct*(T75-U75))+(1-Build_Flag)*Base_FCF*T75</f>
      </c>
      <c r="W75" s="43">
        <f>SUMPRODUCT($J$9:$S$9,$J$10:$S$10,Build_Flag*Base_Revenue*($J75:$S75*$J$11:$S$11-NWC_Pct*($J75:$S75-$I75:$R75))+(1-Build_Flag)*Base_FCF*$J75:$S75)</f>
      </c>
      <c r="X75" s="43">
        <f>IF(Exit_Flag=1,Base_Revenue*T75*INDEX($J$12:$S$12,1,Forecast_Years)*Exit_Multiple/(1+WACC)^Forecast_Years,IF(TGR&lt;WACC,V75*(1+TGR)/(WACC-TGR)/(1+WACC)^(Forecast_Years-Mid_Year),0))</f>
      </c>
    </row>
    <row r="76" hidden="1" spans="2:24" x14ac:dyDescent="0.25" outlineLevel="1" collapsed="1">
      <c r="B76" s="25">
        <f>B75+1</f>
      </c>
      <c r="C76" s="41">
        <f>IF(F75&lt;Share_Price,E75,C75)</f>
      </c>
      <c r="D76" s="41">
        <f>IF(F75&lt;Share_Price,D75,E75)</f>
      </c>
      <c r="E76" s="41">
        <f>(C76+D76)/2</f>
      </c>
      <c r="F76" s="65">
        <f>IF(Inputs_OK=1,(W76+X76+Net_Bridge)/Shares,0)</f>
      </c>
      <c r="G76" s="65">
        <f>F76-Share_Price</f>
      </c>
      <c r="I76" s="58">
        <f>1</f>
      </c>
      <c r="J76" s="58">
        <f>I76*(1+IF(J$8&lt;=5,$E76,$E76+(TGR-$E76)*(J$8-5)/5))</f>
      </c>
      <c r="K76" s="58">
        <f>J76*(1+IF(K$8&lt;=5,$E76,$E76+(TGR-$E76)*(K$8-5)/5))</f>
      </c>
      <c r="L76" s="58">
        <f>K76*(1+IF(L$8&lt;=5,$E76,$E76+(TGR-$E76)*(L$8-5)/5))</f>
      </c>
      <c r="M76" s="58">
        <f>L76*(1+IF(M$8&lt;=5,$E76,$E76+(TGR-$E76)*(M$8-5)/5))</f>
      </c>
      <c r="N76" s="58">
        <f>M76*(1+IF(N$8&lt;=5,$E76,$E76+(TGR-$E76)*(N$8-5)/5))</f>
      </c>
      <c r="O76" s="58">
        <f>N76*(1+IF(O$8&lt;=5,$E76,$E76+(TGR-$E76)*(O$8-5)/5))</f>
      </c>
      <c r="P76" s="58">
        <f>O76*(1+IF(P$8&lt;=5,$E76,$E76+(TGR-$E76)*(P$8-5)/5))</f>
      </c>
      <c r="Q76" s="58">
        <f>P76*(1+IF(Q$8&lt;=5,$E76,$E76+(TGR-$E76)*(Q$8-5)/5))</f>
      </c>
      <c r="R76" s="58">
        <f>Q76*(1+IF(R$8&lt;=5,$E76,$E76+(TGR-$E76)*(R$8-5)/5))</f>
      </c>
      <c r="S76" s="58">
        <f>R76*(1+IF(S$8&lt;=5,$E76,$E76+(TGR-$E76)*(S$8-5)/5))</f>
      </c>
      <c r="T76" s="58">
        <f>INDEX($J76:$S76,1,Forecast_Years)</f>
      </c>
      <c r="U76" s="58">
        <f>INDEX($I76:$S76,1,Forecast_Years)</f>
      </c>
      <c r="V76" s="43">
        <f>Build_Flag*Base_Revenue*(T76*INDEX($J$11:$S$11,1,Forecast_Years)-NWC_Pct*(T76-U76))+(1-Build_Flag)*Base_FCF*T76</f>
      </c>
      <c r="W76" s="43">
        <f>SUMPRODUCT($J$9:$S$9,$J$10:$S$10,Build_Flag*Base_Revenue*($J76:$S76*$J$11:$S$11-NWC_Pct*($J76:$S76-$I76:$R76))+(1-Build_Flag)*Base_FCF*$J76:$S76)</f>
      </c>
      <c r="X76" s="43">
        <f>IF(Exit_Flag=1,Base_Revenue*T76*INDEX($J$12:$S$12,1,Forecast_Years)*Exit_Multiple/(1+WACC)^Forecast_Years,IF(TGR&lt;WACC,V76*(1+TGR)/(WACC-TGR)/(1+WACC)^(Forecast_Years-Mid_Year),0))</f>
      </c>
    </row>
    <row r="77" hidden="1" spans="2:24" x14ac:dyDescent="0.25" outlineLevel="1" collapsed="1">
      <c r="B77" s="25">
        <f>B76+1</f>
      </c>
      <c r="C77" s="41">
        <f>IF(F76&lt;Share_Price,E76,C76)</f>
      </c>
      <c r="D77" s="41">
        <f>IF(F76&lt;Share_Price,D76,E76)</f>
      </c>
      <c r="E77" s="41">
        <f>(C77+D77)/2</f>
      </c>
      <c r="F77" s="65">
        <f>IF(Inputs_OK=1,(W77+X77+Net_Bridge)/Shares,0)</f>
      </c>
      <c r="G77" s="65">
        <f>F77-Share_Price</f>
      </c>
      <c r="I77" s="58">
        <f>1</f>
      </c>
      <c r="J77" s="58">
        <f>I77*(1+IF(J$8&lt;=5,$E77,$E77+(TGR-$E77)*(J$8-5)/5))</f>
      </c>
      <c r="K77" s="58">
        <f>J77*(1+IF(K$8&lt;=5,$E77,$E77+(TGR-$E77)*(K$8-5)/5))</f>
      </c>
      <c r="L77" s="58">
        <f>K77*(1+IF(L$8&lt;=5,$E77,$E77+(TGR-$E77)*(L$8-5)/5))</f>
      </c>
      <c r="M77" s="58">
        <f>L77*(1+IF(M$8&lt;=5,$E77,$E77+(TGR-$E77)*(M$8-5)/5))</f>
      </c>
      <c r="N77" s="58">
        <f>M77*(1+IF(N$8&lt;=5,$E77,$E77+(TGR-$E77)*(N$8-5)/5))</f>
      </c>
      <c r="O77" s="58">
        <f>N77*(1+IF(O$8&lt;=5,$E77,$E77+(TGR-$E77)*(O$8-5)/5))</f>
      </c>
      <c r="P77" s="58">
        <f>O77*(1+IF(P$8&lt;=5,$E77,$E77+(TGR-$E77)*(P$8-5)/5))</f>
      </c>
      <c r="Q77" s="58">
        <f>P77*(1+IF(Q$8&lt;=5,$E77,$E77+(TGR-$E77)*(Q$8-5)/5))</f>
      </c>
      <c r="R77" s="58">
        <f>Q77*(1+IF(R$8&lt;=5,$E77,$E77+(TGR-$E77)*(R$8-5)/5))</f>
      </c>
      <c r="S77" s="58">
        <f>R77*(1+IF(S$8&lt;=5,$E77,$E77+(TGR-$E77)*(S$8-5)/5))</f>
      </c>
      <c r="T77" s="58">
        <f>INDEX($J77:$S77,1,Forecast_Years)</f>
      </c>
      <c r="U77" s="58">
        <f>INDEX($I77:$S77,1,Forecast_Years)</f>
      </c>
      <c r="V77" s="43">
        <f>Build_Flag*Base_Revenue*(T77*INDEX($J$11:$S$11,1,Forecast_Years)-NWC_Pct*(T77-U77))+(1-Build_Flag)*Base_FCF*T77</f>
      </c>
      <c r="W77" s="43">
        <f>SUMPRODUCT($J$9:$S$9,$J$10:$S$10,Build_Flag*Base_Revenue*($J77:$S77*$J$11:$S$11-NWC_Pct*($J77:$S77-$I77:$R77))+(1-Build_Flag)*Base_FCF*$J77:$S77)</f>
      </c>
      <c r="X77" s="43">
        <f>IF(Exit_Flag=1,Base_Revenue*T77*INDEX($J$12:$S$12,1,Forecast_Years)*Exit_Multiple/(1+WACC)^Forecast_Years,IF(TGR&lt;WACC,V77*(1+TGR)/(WACC-TGR)/(1+WACC)^(Forecast_Years-Mid_Year),0))</f>
      </c>
    </row>
    <row r="78" hidden="1" spans="2:24" x14ac:dyDescent="0.25" outlineLevel="1" collapsed="1">
      <c r="B78" s="25">
        <f>B77+1</f>
      </c>
      <c r="C78" s="41">
        <f>IF(F77&lt;Share_Price,E77,C77)</f>
      </c>
      <c r="D78" s="41">
        <f>IF(F77&lt;Share_Price,D77,E77)</f>
      </c>
      <c r="E78" s="41">
        <f>(C78+D78)/2</f>
      </c>
      <c r="F78" s="65">
        <f>IF(Inputs_OK=1,(W78+X78+Net_Bridge)/Shares,0)</f>
      </c>
      <c r="G78" s="65">
        <f>F78-Share_Price</f>
      </c>
      <c r="I78" s="58">
        <f>1</f>
      </c>
      <c r="J78" s="58">
        <f>I78*(1+IF(J$8&lt;=5,$E78,$E78+(TGR-$E78)*(J$8-5)/5))</f>
      </c>
      <c r="K78" s="58">
        <f>J78*(1+IF(K$8&lt;=5,$E78,$E78+(TGR-$E78)*(K$8-5)/5))</f>
      </c>
      <c r="L78" s="58">
        <f>K78*(1+IF(L$8&lt;=5,$E78,$E78+(TGR-$E78)*(L$8-5)/5))</f>
      </c>
      <c r="M78" s="58">
        <f>L78*(1+IF(M$8&lt;=5,$E78,$E78+(TGR-$E78)*(M$8-5)/5))</f>
      </c>
      <c r="N78" s="58">
        <f>M78*(1+IF(N$8&lt;=5,$E78,$E78+(TGR-$E78)*(N$8-5)/5))</f>
      </c>
      <c r="O78" s="58">
        <f>N78*(1+IF(O$8&lt;=5,$E78,$E78+(TGR-$E78)*(O$8-5)/5))</f>
      </c>
      <c r="P78" s="58">
        <f>O78*(1+IF(P$8&lt;=5,$E78,$E78+(TGR-$E78)*(P$8-5)/5))</f>
      </c>
      <c r="Q78" s="58">
        <f>P78*(1+IF(Q$8&lt;=5,$E78,$E78+(TGR-$E78)*(Q$8-5)/5))</f>
      </c>
      <c r="R78" s="58">
        <f>Q78*(1+IF(R$8&lt;=5,$E78,$E78+(TGR-$E78)*(R$8-5)/5))</f>
      </c>
      <c r="S78" s="58">
        <f>R78*(1+IF(S$8&lt;=5,$E78,$E78+(TGR-$E78)*(S$8-5)/5))</f>
      </c>
      <c r="T78" s="58">
        <f>INDEX($J78:$S78,1,Forecast_Years)</f>
      </c>
      <c r="U78" s="58">
        <f>INDEX($I78:$S78,1,Forecast_Years)</f>
      </c>
      <c r="V78" s="43">
        <f>Build_Flag*Base_Revenue*(T78*INDEX($J$11:$S$11,1,Forecast_Years)-NWC_Pct*(T78-U78))+(1-Build_Flag)*Base_FCF*T78</f>
      </c>
      <c r="W78" s="43">
        <f>SUMPRODUCT($J$9:$S$9,$J$10:$S$10,Build_Flag*Base_Revenue*($J78:$S78*$J$11:$S$11-NWC_Pct*($J78:$S78-$I78:$R78))+(1-Build_Flag)*Base_FCF*$J78:$S78)</f>
      </c>
      <c r="X78" s="43">
        <f>IF(Exit_Flag=1,Base_Revenue*T78*INDEX($J$12:$S$12,1,Forecast_Years)*Exit_Multiple/(1+WACC)^Forecast_Years,IF(TGR&lt;WACC,V78*(1+TGR)/(WACC-TGR)/(1+WACC)^(Forecast_Years-Mid_Year),0))</f>
      </c>
    </row>
    <row r="79" hidden="1" spans="2:24" x14ac:dyDescent="0.25" outlineLevel="1" collapsed="1">
      <c r="B79" s="25">
        <f>B78+1</f>
      </c>
      <c r="C79" s="41">
        <f>IF(F78&lt;Share_Price,E78,C78)</f>
      </c>
      <c r="D79" s="41">
        <f>IF(F78&lt;Share_Price,D78,E78)</f>
      </c>
      <c r="E79" s="41">
        <f>(C79+D79)/2</f>
      </c>
      <c r="F79" s="65">
        <f>IF(Inputs_OK=1,(W79+X79+Net_Bridge)/Shares,0)</f>
      </c>
      <c r="G79" s="65">
        <f>F79-Share_Price</f>
      </c>
      <c r="I79" s="58">
        <f>1</f>
      </c>
      <c r="J79" s="58">
        <f>I79*(1+IF(J$8&lt;=5,$E79,$E79+(TGR-$E79)*(J$8-5)/5))</f>
      </c>
      <c r="K79" s="58">
        <f>J79*(1+IF(K$8&lt;=5,$E79,$E79+(TGR-$E79)*(K$8-5)/5))</f>
      </c>
      <c r="L79" s="58">
        <f>K79*(1+IF(L$8&lt;=5,$E79,$E79+(TGR-$E79)*(L$8-5)/5))</f>
      </c>
      <c r="M79" s="58">
        <f>L79*(1+IF(M$8&lt;=5,$E79,$E79+(TGR-$E79)*(M$8-5)/5))</f>
      </c>
      <c r="N79" s="58">
        <f>M79*(1+IF(N$8&lt;=5,$E79,$E79+(TGR-$E79)*(N$8-5)/5))</f>
      </c>
      <c r="O79" s="58">
        <f>N79*(1+IF(O$8&lt;=5,$E79,$E79+(TGR-$E79)*(O$8-5)/5))</f>
      </c>
      <c r="P79" s="58">
        <f>O79*(1+IF(P$8&lt;=5,$E79,$E79+(TGR-$E79)*(P$8-5)/5))</f>
      </c>
      <c r="Q79" s="58">
        <f>P79*(1+IF(Q$8&lt;=5,$E79,$E79+(TGR-$E79)*(Q$8-5)/5))</f>
      </c>
      <c r="R79" s="58">
        <f>Q79*(1+IF(R$8&lt;=5,$E79,$E79+(TGR-$E79)*(R$8-5)/5))</f>
      </c>
      <c r="S79" s="58">
        <f>R79*(1+IF(S$8&lt;=5,$E79,$E79+(TGR-$E79)*(S$8-5)/5))</f>
      </c>
      <c r="T79" s="58">
        <f>INDEX($J79:$S79,1,Forecast_Years)</f>
      </c>
      <c r="U79" s="58">
        <f>INDEX($I79:$S79,1,Forecast_Years)</f>
      </c>
      <c r="V79" s="43">
        <f>Build_Flag*Base_Revenue*(T79*INDEX($J$11:$S$11,1,Forecast_Years)-NWC_Pct*(T79-U79))+(1-Build_Flag)*Base_FCF*T79</f>
      </c>
      <c r="W79" s="43">
        <f>SUMPRODUCT($J$9:$S$9,$J$10:$S$10,Build_Flag*Base_Revenue*($J79:$S79*$J$11:$S$11-NWC_Pct*($J79:$S79-$I79:$R79))+(1-Build_Flag)*Base_FCF*$J79:$S79)</f>
      </c>
      <c r="X79" s="43">
        <f>IF(Exit_Flag=1,Base_Revenue*T79*INDEX($J$12:$S$12,1,Forecast_Years)*Exit_Multiple/(1+WACC)^Forecast_Years,IF(TGR&lt;WACC,V79*(1+TGR)/(WACC-TGR)/(1+WACC)^(Forecast_Years-Mid_Year),0))</f>
      </c>
    </row>
    <row r="80" hidden="1" spans="2:5" x14ac:dyDescent="0.25" outlineLevel="1" collapsed="1">
      <c r="B80" s="77" t="s">
        <v>204</v>
      </c>
      <c r="C80" s="41">
        <f>IF(F79&lt;Share_Price,E79,C79)</f>
      </c>
      <c r="D80" s="41">
        <f>IF(F79&lt;Share_Price,D79,E79)</f>
      </c>
      <c r="E80" s="71">
        <f>(C80+D80)/2</f>
      </c>
    </row>
    <row r="81" spans="2:2" x14ac:dyDescent="0.25">
      <c r="B81" s="77" t="s">
        <v>232</v>
      </c>
    </row>
    <row r="82" spans="2:24" x14ac:dyDescent="0.25">
      <c r="B82" s="7" t="s">
        <v>233</v>
      </c>
      <c r="E82" s="40">
        <f>Growth_Lower</f>
      </c>
      <c r="F82" s="65">
        <f>IF(Inputs_OK=1,(W82+X82+Net_Bridge)/Shares,0)</f>
      </c>
      <c r="I82" s="58">
        <f>1</f>
      </c>
      <c r="J82" s="58">
        <f>I82*(1+IF(J$8&lt;=5,$E82,$E82+(TGR-$E82)*(J$8-5)/5))</f>
      </c>
      <c r="K82" s="58">
        <f>J82*(1+IF(K$8&lt;=5,$E82,$E82+(TGR-$E82)*(K$8-5)/5))</f>
      </c>
      <c r="L82" s="58">
        <f>K82*(1+IF(L$8&lt;=5,$E82,$E82+(TGR-$E82)*(L$8-5)/5))</f>
      </c>
      <c r="M82" s="58">
        <f>L82*(1+IF(M$8&lt;=5,$E82,$E82+(TGR-$E82)*(M$8-5)/5))</f>
      </c>
      <c r="N82" s="58">
        <f>M82*(1+IF(N$8&lt;=5,$E82,$E82+(TGR-$E82)*(N$8-5)/5))</f>
      </c>
      <c r="O82" s="58">
        <f>N82*(1+IF(O$8&lt;=5,$E82,$E82+(TGR-$E82)*(O$8-5)/5))</f>
      </c>
      <c r="P82" s="58">
        <f>O82*(1+IF(P$8&lt;=5,$E82,$E82+(TGR-$E82)*(P$8-5)/5))</f>
      </c>
      <c r="Q82" s="58">
        <f>P82*(1+IF(Q$8&lt;=5,$E82,$E82+(TGR-$E82)*(Q$8-5)/5))</f>
      </c>
      <c r="R82" s="58">
        <f>Q82*(1+IF(R$8&lt;=5,$E82,$E82+(TGR-$E82)*(R$8-5)/5))</f>
      </c>
      <c r="S82" s="58">
        <f>R82*(1+IF(S$8&lt;=5,$E82,$E82+(TGR-$E82)*(S$8-5)/5))</f>
      </c>
      <c r="T82" s="58">
        <f>INDEX($J82:$S82,1,Forecast_Years)</f>
      </c>
      <c r="U82" s="58">
        <f>INDEX($I82:$S82,1,Forecast_Years)</f>
      </c>
      <c r="V82" s="43">
        <f>Build_Flag*Base_Revenue*(T82*INDEX($J$11:$S$11,1,Forecast_Years)-NWC_Pct*(T82-U82))+(1-Build_Flag)*Base_FCF*T82</f>
      </c>
      <c r="W82" s="43">
        <f>SUMPRODUCT($J$9:$S$9,$J$10:$S$10,Build_Flag*Base_Revenue*($J82:$S82*$J$11:$S$11-NWC_Pct*($J82:$S82-$I82:$R82))+(1-Build_Flag)*Base_FCF*$J82:$S82)</f>
      </c>
      <c r="X82" s="43">
        <f>IF(Exit_Flag=1,Base_Revenue*T82*INDEX($J$12:$S$12,1,Forecast_Years)*Exit_Multiple/(1+WACC)^Forecast_Years,IF(TGR&lt;WACC,V82*(1+TGR)/(WACC-TGR)/(1+WACC)^(Forecast_Years-Mid_Year),0))</f>
      </c>
    </row>
    <row r="83" spans="2:24" x14ac:dyDescent="0.25">
      <c r="B83" s="7" t="s">
        <v>234</v>
      </c>
      <c r="E83" s="40">
        <f>Growth_Upper</f>
      </c>
      <c r="F83" s="65">
        <f>IF(Inputs_OK=1,(W83+X83+Net_Bridge)/Shares,0)</f>
      </c>
      <c r="I83" s="58">
        <f>1</f>
      </c>
      <c r="J83" s="58">
        <f>I83*(1+IF(J$8&lt;=5,$E83,$E83+(TGR-$E83)*(J$8-5)/5))</f>
      </c>
      <c r="K83" s="58">
        <f>J83*(1+IF(K$8&lt;=5,$E83,$E83+(TGR-$E83)*(K$8-5)/5))</f>
      </c>
      <c r="L83" s="58">
        <f>K83*(1+IF(L$8&lt;=5,$E83,$E83+(TGR-$E83)*(L$8-5)/5))</f>
      </c>
      <c r="M83" s="58">
        <f>L83*(1+IF(M$8&lt;=5,$E83,$E83+(TGR-$E83)*(M$8-5)/5))</f>
      </c>
      <c r="N83" s="58">
        <f>M83*(1+IF(N$8&lt;=5,$E83,$E83+(TGR-$E83)*(N$8-5)/5))</f>
      </c>
      <c r="O83" s="58">
        <f>N83*(1+IF(O$8&lt;=5,$E83,$E83+(TGR-$E83)*(O$8-5)/5))</f>
      </c>
      <c r="P83" s="58">
        <f>O83*(1+IF(P$8&lt;=5,$E83,$E83+(TGR-$E83)*(P$8-5)/5))</f>
      </c>
      <c r="Q83" s="58">
        <f>P83*(1+IF(Q$8&lt;=5,$E83,$E83+(TGR-$E83)*(Q$8-5)/5))</f>
      </c>
      <c r="R83" s="58">
        <f>Q83*(1+IF(R$8&lt;=5,$E83,$E83+(TGR-$E83)*(R$8-5)/5))</f>
      </c>
      <c r="S83" s="58">
        <f>R83*(1+IF(S$8&lt;=5,$E83,$E83+(TGR-$E83)*(S$8-5)/5))</f>
      </c>
      <c r="T83" s="58">
        <f>INDEX($J83:$S83,1,Forecast_Years)</f>
      </c>
      <c r="U83" s="58">
        <f>INDEX($I83:$S83,1,Forecast_Years)</f>
      </c>
      <c r="V83" s="43">
        <f>Build_Flag*Base_Revenue*(T83*INDEX($J$11:$S$11,1,Forecast_Years)-NWC_Pct*(T83-U83))+(1-Build_Flag)*Base_FCF*T83</f>
      </c>
      <c r="W83" s="43">
        <f>SUMPRODUCT($J$9:$S$9,$J$10:$S$10,Build_Flag*Base_Revenue*($J83:$S83*$J$11:$S$11-NWC_Pct*($J83:$S83-$I83:$R83))+(1-Build_Flag)*Base_FCF*$J83:$S83)</f>
      </c>
      <c r="X83" s="43">
        <f>IF(Exit_Flag=1,Base_Revenue*T83*INDEX($J$12:$S$12,1,Forecast_Years)*Exit_Multiple/(1+WACC)^Forecast_Years,IF(TGR&lt;WACC,V83*(1+TGR)/(WACC-TGR)/(1+WACC)^(Forecast_Years-Mid_Year),0))</f>
      </c>
    </row>
    <row r="84" spans="2:24" x14ac:dyDescent="0.25">
      <c r="B84" s="7" t="s">
        <v>235</v>
      </c>
      <c r="E84" s="41">
        <f>E80</f>
      </c>
      <c r="F84" s="65">
        <f>IF(Inputs_OK=1,(W84+X84+Net_Bridge)/Shares,0)</f>
      </c>
      <c r="I84" s="58">
        <f>1</f>
      </c>
      <c r="J84" s="58">
        <f>I84*(1+IF(J$8&lt;=5,$E84,$E84+(TGR-$E84)*(J$8-5)/5))</f>
      </c>
      <c r="K84" s="58">
        <f>J84*(1+IF(K$8&lt;=5,$E84,$E84+(TGR-$E84)*(K$8-5)/5))</f>
      </c>
      <c r="L84" s="58">
        <f>K84*(1+IF(L$8&lt;=5,$E84,$E84+(TGR-$E84)*(L$8-5)/5))</f>
      </c>
      <c r="M84" s="58">
        <f>L84*(1+IF(M$8&lt;=5,$E84,$E84+(TGR-$E84)*(M$8-5)/5))</f>
      </c>
      <c r="N84" s="58">
        <f>M84*(1+IF(N$8&lt;=5,$E84,$E84+(TGR-$E84)*(N$8-5)/5))</f>
      </c>
      <c r="O84" s="58">
        <f>N84*(1+IF(O$8&lt;=5,$E84,$E84+(TGR-$E84)*(O$8-5)/5))</f>
      </c>
      <c r="P84" s="58">
        <f>O84*(1+IF(P$8&lt;=5,$E84,$E84+(TGR-$E84)*(P$8-5)/5))</f>
      </c>
      <c r="Q84" s="58">
        <f>P84*(1+IF(Q$8&lt;=5,$E84,$E84+(TGR-$E84)*(Q$8-5)/5))</f>
      </c>
      <c r="R84" s="58">
        <f>Q84*(1+IF(R$8&lt;=5,$E84,$E84+(TGR-$E84)*(R$8-5)/5))</f>
      </c>
      <c r="S84" s="58">
        <f>R84*(1+IF(S$8&lt;=5,$E84,$E84+(TGR-$E84)*(S$8-5)/5))</f>
      </c>
      <c r="T84" s="58">
        <f>INDEX($J84:$S84,1,Forecast_Years)</f>
      </c>
      <c r="U84" s="58">
        <f>INDEX($I84:$S84,1,Forecast_Years)</f>
      </c>
      <c r="V84" s="43">
        <f>Build_Flag*Base_Revenue*(T84*INDEX($J$11:$S$11,1,Forecast_Years)-NWC_Pct*(T84-U84))+(1-Build_Flag)*Base_FCF*T84</f>
      </c>
      <c r="W84" s="43">
        <f>SUMPRODUCT($J$9:$S$9,$J$10:$S$10,Build_Flag*Base_Revenue*($J84:$S84*$J$11:$S$11-NWC_Pct*($J84:$S84-$I84:$R84))+(1-Build_Flag)*Base_FCF*$J84:$S84)</f>
      </c>
      <c r="X84" s="43">
        <f>IF(Exit_Flag=1,Base_Revenue*T84*INDEX($J$12:$S$12,1,Forecast_Years)*Exit_Multiple/(1+WACC)^Forecast_Years,IF(TGR&lt;WACC,V84*(1+TGR)/(WACC-TGR)/(1+WACC)^(Forecast_Years-Mid_Year),0))</f>
      </c>
    </row>
    <row r="86" ht="18" customHeight="1" spans="2:7" x14ac:dyDescent="0.25">
      <c r="B86" s="5" t="s">
        <v>236</v>
      </c>
      <c r="C86" s="6"/>
      <c r="D86" s="6"/>
      <c r="E86" s="6"/>
      <c r="F86" s="6"/>
      <c r="G86" s="6"/>
    </row>
    <row r="87" ht="40" customHeight="1" hidden="1" spans="2:7" x14ac:dyDescent="0.25" outlineLevel="1" collapsed="1">
      <c r="B87" s="75" t="s">
        <v>210</v>
      </c>
      <c r="C87" s="76" t="s">
        <v>211</v>
      </c>
      <c r="D87" s="76" t="s">
        <v>212</v>
      </c>
      <c r="E87" s="76" t="s">
        <v>213</v>
      </c>
      <c r="F87" s="76" t="s">
        <v>214</v>
      </c>
      <c r="G87" s="76" t="s">
        <v>215</v>
      </c>
    </row>
    <row r="88" hidden="1" spans="2:7" x14ac:dyDescent="0.25" outlineLevel="1" collapsed="1">
      <c r="B88" s="25">
        <f>1</f>
      </c>
      <c r="C88" s="53">
        <f>IF(Exit_Flag=1,WACC_Lower,MAX(WACC_Lower,TGR+WACC_Spread))</f>
      </c>
      <c r="D88" s="47">
        <f>WACC_Upper</f>
      </c>
      <c r="E88" s="53">
        <f>(C88+D88)/2</f>
      </c>
      <c r="F88" s="65">
        <f>IF(Inputs_OK=1,(SUMPRODUCT(FCF_Used,In_Forecast,1/(1+$E88)^Disc_Period)+IF(Exit_Flag=1,EBITDA_N*Exit_Multiple/(1+$E88)^Forecast_Years,IF(TGR&lt;$E88,FCF_N*(1+TGR)/($E88-TGR)/(1+$E88)^(Forecast_Years-Mid_Year),0))+Net_Bridge)/Shares,0)</f>
      </c>
      <c r="G88" s="65">
        <f>F88-Share_Price</f>
      </c>
    </row>
    <row r="89" hidden="1" spans="2:7" x14ac:dyDescent="0.25" outlineLevel="1" collapsed="1">
      <c r="B89" s="25">
        <f>B88+1</f>
      </c>
      <c r="C89" s="53">
        <f>IF(F88&lt;Share_Price,C88,E88)</f>
      </c>
      <c r="D89" s="53">
        <f>IF(F88&lt;Share_Price,E88,D88)</f>
      </c>
      <c r="E89" s="53">
        <f>(C89+D89)/2</f>
      </c>
      <c r="F89" s="65">
        <f>IF(Inputs_OK=1,(SUMPRODUCT(FCF_Used,In_Forecast,1/(1+$E89)^Disc_Period)+IF(Exit_Flag=1,EBITDA_N*Exit_Multiple/(1+$E89)^Forecast_Years,IF(TGR&lt;$E89,FCF_N*(1+TGR)/($E89-TGR)/(1+$E89)^(Forecast_Years-Mid_Year),0))+Net_Bridge)/Shares,0)</f>
      </c>
      <c r="G89" s="65">
        <f>F89-Share_Price</f>
      </c>
    </row>
    <row r="90" hidden="1" spans="2:7" x14ac:dyDescent="0.25" outlineLevel="1" collapsed="1">
      <c r="B90" s="25">
        <f>B89+1</f>
      </c>
      <c r="C90" s="53">
        <f>IF(F89&lt;Share_Price,C89,E89)</f>
      </c>
      <c r="D90" s="53">
        <f>IF(F89&lt;Share_Price,E89,D89)</f>
      </c>
      <c r="E90" s="53">
        <f>(C90+D90)/2</f>
      </c>
      <c r="F90" s="65">
        <f>IF(Inputs_OK=1,(SUMPRODUCT(FCF_Used,In_Forecast,1/(1+$E90)^Disc_Period)+IF(Exit_Flag=1,EBITDA_N*Exit_Multiple/(1+$E90)^Forecast_Years,IF(TGR&lt;$E90,FCF_N*(1+TGR)/($E90-TGR)/(1+$E90)^(Forecast_Years-Mid_Year),0))+Net_Bridge)/Shares,0)</f>
      </c>
      <c r="G90" s="65">
        <f>F90-Share_Price</f>
      </c>
    </row>
    <row r="91" hidden="1" spans="2:7" x14ac:dyDescent="0.25" outlineLevel="1" collapsed="1">
      <c r="B91" s="25">
        <f>B90+1</f>
      </c>
      <c r="C91" s="53">
        <f>IF(F90&lt;Share_Price,C90,E90)</f>
      </c>
      <c r="D91" s="53">
        <f>IF(F90&lt;Share_Price,E90,D90)</f>
      </c>
      <c r="E91" s="53">
        <f>(C91+D91)/2</f>
      </c>
      <c r="F91" s="65">
        <f>IF(Inputs_OK=1,(SUMPRODUCT(FCF_Used,In_Forecast,1/(1+$E91)^Disc_Period)+IF(Exit_Flag=1,EBITDA_N*Exit_Multiple/(1+$E91)^Forecast_Years,IF(TGR&lt;$E91,FCF_N*(1+TGR)/($E91-TGR)/(1+$E91)^(Forecast_Years-Mid_Year),0))+Net_Bridge)/Shares,0)</f>
      </c>
      <c r="G91" s="65">
        <f>F91-Share_Price</f>
      </c>
    </row>
    <row r="92" hidden="1" spans="2:7" x14ac:dyDescent="0.25" outlineLevel="1" collapsed="1">
      <c r="B92" s="25">
        <f>B91+1</f>
      </c>
      <c r="C92" s="53">
        <f>IF(F91&lt;Share_Price,C91,E91)</f>
      </c>
      <c r="D92" s="53">
        <f>IF(F91&lt;Share_Price,E91,D91)</f>
      </c>
      <c r="E92" s="53">
        <f>(C92+D92)/2</f>
      </c>
      <c r="F92" s="65">
        <f>IF(Inputs_OK=1,(SUMPRODUCT(FCF_Used,In_Forecast,1/(1+$E92)^Disc_Period)+IF(Exit_Flag=1,EBITDA_N*Exit_Multiple/(1+$E92)^Forecast_Years,IF(TGR&lt;$E92,FCF_N*(1+TGR)/($E92-TGR)/(1+$E92)^(Forecast_Years-Mid_Year),0))+Net_Bridge)/Shares,0)</f>
      </c>
      <c r="G92" s="65">
        <f>F92-Share_Price</f>
      </c>
    </row>
    <row r="93" hidden="1" spans="2:7" x14ac:dyDescent="0.25" outlineLevel="1" collapsed="1">
      <c r="B93" s="25">
        <f>B92+1</f>
      </c>
      <c r="C93" s="53">
        <f>IF(F92&lt;Share_Price,C92,E92)</f>
      </c>
      <c r="D93" s="53">
        <f>IF(F92&lt;Share_Price,E92,D92)</f>
      </c>
      <c r="E93" s="53">
        <f>(C93+D93)/2</f>
      </c>
      <c r="F93" s="65">
        <f>IF(Inputs_OK=1,(SUMPRODUCT(FCF_Used,In_Forecast,1/(1+$E93)^Disc_Period)+IF(Exit_Flag=1,EBITDA_N*Exit_Multiple/(1+$E93)^Forecast_Years,IF(TGR&lt;$E93,FCF_N*(1+TGR)/($E93-TGR)/(1+$E93)^(Forecast_Years-Mid_Year),0))+Net_Bridge)/Shares,0)</f>
      </c>
      <c r="G93" s="65">
        <f>F93-Share_Price</f>
      </c>
    </row>
    <row r="94" hidden="1" spans="2:7" x14ac:dyDescent="0.25" outlineLevel="1" collapsed="1">
      <c r="B94" s="25">
        <f>B93+1</f>
      </c>
      <c r="C94" s="53">
        <f>IF(F93&lt;Share_Price,C93,E93)</f>
      </c>
      <c r="D94" s="53">
        <f>IF(F93&lt;Share_Price,E93,D93)</f>
      </c>
      <c r="E94" s="53">
        <f>(C94+D94)/2</f>
      </c>
      <c r="F94" s="65">
        <f>IF(Inputs_OK=1,(SUMPRODUCT(FCF_Used,In_Forecast,1/(1+$E94)^Disc_Period)+IF(Exit_Flag=1,EBITDA_N*Exit_Multiple/(1+$E94)^Forecast_Years,IF(TGR&lt;$E94,FCF_N*(1+TGR)/($E94-TGR)/(1+$E94)^(Forecast_Years-Mid_Year),0))+Net_Bridge)/Shares,0)</f>
      </c>
      <c r="G94" s="65">
        <f>F94-Share_Price</f>
      </c>
    </row>
    <row r="95" hidden="1" spans="2:7" x14ac:dyDescent="0.25" outlineLevel="1" collapsed="1">
      <c r="B95" s="25">
        <f>B94+1</f>
      </c>
      <c r="C95" s="53">
        <f>IF(F94&lt;Share_Price,C94,E94)</f>
      </c>
      <c r="D95" s="53">
        <f>IF(F94&lt;Share_Price,E94,D94)</f>
      </c>
      <c r="E95" s="53">
        <f>(C95+D95)/2</f>
      </c>
      <c r="F95" s="65">
        <f>IF(Inputs_OK=1,(SUMPRODUCT(FCF_Used,In_Forecast,1/(1+$E95)^Disc_Period)+IF(Exit_Flag=1,EBITDA_N*Exit_Multiple/(1+$E95)^Forecast_Years,IF(TGR&lt;$E95,FCF_N*(1+TGR)/($E95-TGR)/(1+$E95)^(Forecast_Years-Mid_Year),0))+Net_Bridge)/Shares,0)</f>
      </c>
      <c r="G95" s="65">
        <f>F95-Share_Price</f>
      </c>
    </row>
    <row r="96" hidden="1" spans="2:7" x14ac:dyDescent="0.25" outlineLevel="1" collapsed="1">
      <c r="B96" s="25">
        <f>B95+1</f>
      </c>
      <c r="C96" s="53">
        <f>IF(F95&lt;Share_Price,C95,E95)</f>
      </c>
      <c r="D96" s="53">
        <f>IF(F95&lt;Share_Price,E95,D95)</f>
      </c>
      <c r="E96" s="53">
        <f>(C96+D96)/2</f>
      </c>
      <c r="F96" s="65">
        <f>IF(Inputs_OK=1,(SUMPRODUCT(FCF_Used,In_Forecast,1/(1+$E96)^Disc_Period)+IF(Exit_Flag=1,EBITDA_N*Exit_Multiple/(1+$E96)^Forecast_Years,IF(TGR&lt;$E96,FCF_N*(1+TGR)/($E96-TGR)/(1+$E96)^(Forecast_Years-Mid_Year),0))+Net_Bridge)/Shares,0)</f>
      </c>
      <c r="G96" s="65">
        <f>F96-Share_Price</f>
      </c>
    </row>
    <row r="97" hidden="1" spans="2:7" x14ac:dyDescent="0.25" outlineLevel="1" collapsed="1">
      <c r="B97" s="25">
        <f>B96+1</f>
      </c>
      <c r="C97" s="53">
        <f>IF(F96&lt;Share_Price,C96,E96)</f>
      </c>
      <c r="D97" s="53">
        <f>IF(F96&lt;Share_Price,E96,D96)</f>
      </c>
      <c r="E97" s="53">
        <f>(C97+D97)/2</f>
      </c>
      <c r="F97" s="65">
        <f>IF(Inputs_OK=1,(SUMPRODUCT(FCF_Used,In_Forecast,1/(1+$E97)^Disc_Period)+IF(Exit_Flag=1,EBITDA_N*Exit_Multiple/(1+$E97)^Forecast_Years,IF(TGR&lt;$E97,FCF_N*(1+TGR)/($E97-TGR)/(1+$E97)^(Forecast_Years-Mid_Year),0))+Net_Bridge)/Shares,0)</f>
      </c>
      <c r="G97" s="65">
        <f>F97-Share_Price</f>
      </c>
    </row>
    <row r="98" hidden="1" spans="2:7" x14ac:dyDescent="0.25" outlineLevel="1" collapsed="1">
      <c r="B98" s="25">
        <f>B97+1</f>
      </c>
      <c r="C98" s="53">
        <f>IF(F97&lt;Share_Price,C97,E97)</f>
      </c>
      <c r="D98" s="53">
        <f>IF(F97&lt;Share_Price,E97,D97)</f>
      </c>
      <c r="E98" s="53">
        <f>(C98+D98)/2</f>
      </c>
      <c r="F98" s="65">
        <f>IF(Inputs_OK=1,(SUMPRODUCT(FCF_Used,In_Forecast,1/(1+$E98)^Disc_Period)+IF(Exit_Flag=1,EBITDA_N*Exit_Multiple/(1+$E98)^Forecast_Years,IF(TGR&lt;$E98,FCF_N*(1+TGR)/($E98-TGR)/(1+$E98)^(Forecast_Years-Mid_Year),0))+Net_Bridge)/Shares,0)</f>
      </c>
      <c r="G98" s="65">
        <f>F98-Share_Price</f>
      </c>
    </row>
    <row r="99" hidden="1" spans="2:7" x14ac:dyDescent="0.25" outlineLevel="1" collapsed="1">
      <c r="B99" s="25">
        <f>B98+1</f>
      </c>
      <c r="C99" s="53">
        <f>IF(F98&lt;Share_Price,C98,E98)</f>
      </c>
      <c r="D99" s="53">
        <f>IF(F98&lt;Share_Price,E98,D98)</f>
      </c>
      <c r="E99" s="53">
        <f>(C99+D99)/2</f>
      </c>
      <c r="F99" s="65">
        <f>IF(Inputs_OK=1,(SUMPRODUCT(FCF_Used,In_Forecast,1/(1+$E99)^Disc_Period)+IF(Exit_Flag=1,EBITDA_N*Exit_Multiple/(1+$E99)^Forecast_Years,IF(TGR&lt;$E99,FCF_N*(1+TGR)/($E99-TGR)/(1+$E99)^(Forecast_Years-Mid_Year),0))+Net_Bridge)/Shares,0)</f>
      </c>
      <c r="G99" s="65">
        <f>F99-Share_Price</f>
      </c>
    </row>
    <row r="100" hidden="1" spans="2:7" x14ac:dyDescent="0.25" outlineLevel="1" collapsed="1">
      <c r="B100" s="25">
        <f>B99+1</f>
      </c>
      <c r="C100" s="53">
        <f>IF(F99&lt;Share_Price,C99,E99)</f>
      </c>
      <c r="D100" s="53">
        <f>IF(F99&lt;Share_Price,E99,D99)</f>
      </c>
      <c r="E100" s="53">
        <f>(C100+D100)/2</f>
      </c>
      <c r="F100" s="65">
        <f>IF(Inputs_OK=1,(SUMPRODUCT(FCF_Used,In_Forecast,1/(1+$E100)^Disc_Period)+IF(Exit_Flag=1,EBITDA_N*Exit_Multiple/(1+$E100)^Forecast_Years,IF(TGR&lt;$E100,FCF_N*(1+TGR)/($E100-TGR)/(1+$E100)^(Forecast_Years-Mid_Year),0))+Net_Bridge)/Shares,0)</f>
      </c>
      <c r="G100" s="65">
        <f>F100-Share_Price</f>
      </c>
    </row>
    <row r="101" hidden="1" spans="2:7" x14ac:dyDescent="0.25" outlineLevel="1" collapsed="1">
      <c r="B101" s="25">
        <f>B100+1</f>
      </c>
      <c r="C101" s="53">
        <f>IF(F100&lt;Share_Price,C100,E100)</f>
      </c>
      <c r="D101" s="53">
        <f>IF(F100&lt;Share_Price,E100,D100)</f>
      </c>
      <c r="E101" s="53">
        <f>(C101+D101)/2</f>
      </c>
      <c r="F101" s="65">
        <f>IF(Inputs_OK=1,(SUMPRODUCT(FCF_Used,In_Forecast,1/(1+$E101)^Disc_Period)+IF(Exit_Flag=1,EBITDA_N*Exit_Multiple/(1+$E101)^Forecast_Years,IF(TGR&lt;$E101,FCF_N*(1+TGR)/($E101-TGR)/(1+$E101)^(Forecast_Years-Mid_Year),0))+Net_Bridge)/Shares,0)</f>
      </c>
      <c r="G101" s="65">
        <f>F101-Share_Price</f>
      </c>
    </row>
    <row r="102" hidden="1" spans="2:7" x14ac:dyDescent="0.25" outlineLevel="1" collapsed="1">
      <c r="B102" s="25">
        <f>B101+1</f>
      </c>
      <c r="C102" s="53">
        <f>IF(F101&lt;Share_Price,C101,E101)</f>
      </c>
      <c r="D102" s="53">
        <f>IF(F101&lt;Share_Price,E101,D101)</f>
      </c>
      <c r="E102" s="53">
        <f>(C102+D102)/2</f>
      </c>
      <c r="F102" s="65">
        <f>IF(Inputs_OK=1,(SUMPRODUCT(FCF_Used,In_Forecast,1/(1+$E102)^Disc_Period)+IF(Exit_Flag=1,EBITDA_N*Exit_Multiple/(1+$E102)^Forecast_Years,IF(TGR&lt;$E102,FCF_N*(1+TGR)/($E102-TGR)/(1+$E102)^(Forecast_Years-Mid_Year),0))+Net_Bridge)/Shares,0)</f>
      </c>
      <c r="G102" s="65">
        <f>F102-Share_Price</f>
      </c>
    </row>
    <row r="103" hidden="1" spans="2:7" x14ac:dyDescent="0.25" outlineLevel="1" collapsed="1">
      <c r="B103" s="25">
        <f>B102+1</f>
      </c>
      <c r="C103" s="53">
        <f>IF(F102&lt;Share_Price,C102,E102)</f>
      </c>
      <c r="D103" s="53">
        <f>IF(F102&lt;Share_Price,E102,D102)</f>
      </c>
      <c r="E103" s="53">
        <f>(C103+D103)/2</f>
      </c>
      <c r="F103" s="65">
        <f>IF(Inputs_OK=1,(SUMPRODUCT(FCF_Used,In_Forecast,1/(1+$E103)^Disc_Period)+IF(Exit_Flag=1,EBITDA_N*Exit_Multiple/(1+$E103)^Forecast_Years,IF(TGR&lt;$E103,FCF_N*(1+TGR)/($E103-TGR)/(1+$E103)^(Forecast_Years-Mid_Year),0))+Net_Bridge)/Shares,0)</f>
      </c>
      <c r="G103" s="65">
        <f>F103-Share_Price</f>
      </c>
    </row>
    <row r="104" hidden="1" spans="2:7" x14ac:dyDescent="0.25" outlineLevel="1" collapsed="1">
      <c r="B104" s="25">
        <f>B103+1</f>
      </c>
      <c r="C104" s="53">
        <f>IF(F103&lt;Share_Price,C103,E103)</f>
      </c>
      <c r="D104" s="53">
        <f>IF(F103&lt;Share_Price,E103,D103)</f>
      </c>
      <c r="E104" s="53">
        <f>(C104+D104)/2</f>
      </c>
      <c r="F104" s="65">
        <f>IF(Inputs_OK=1,(SUMPRODUCT(FCF_Used,In_Forecast,1/(1+$E104)^Disc_Period)+IF(Exit_Flag=1,EBITDA_N*Exit_Multiple/(1+$E104)^Forecast_Years,IF(TGR&lt;$E104,FCF_N*(1+TGR)/($E104-TGR)/(1+$E104)^(Forecast_Years-Mid_Year),0))+Net_Bridge)/Shares,0)</f>
      </c>
      <c r="G104" s="65">
        <f>F104-Share_Price</f>
      </c>
    </row>
    <row r="105" hidden="1" spans="2:7" x14ac:dyDescent="0.25" outlineLevel="1" collapsed="1">
      <c r="B105" s="25">
        <f>B104+1</f>
      </c>
      <c r="C105" s="53">
        <f>IF(F104&lt;Share_Price,C104,E104)</f>
      </c>
      <c r="D105" s="53">
        <f>IF(F104&lt;Share_Price,E104,D104)</f>
      </c>
      <c r="E105" s="53">
        <f>(C105+D105)/2</f>
      </c>
      <c r="F105" s="65">
        <f>IF(Inputs_OK=1,(SUMPRODUCT(FCF_Used,In_Forecast,1/(1+$E105)^Disc_Period)+IF(Exit_Flag=1,EBITDA_N*Exit_Multiple/(1+$E105)^Forecast_Years,IF(TGR&lt;$E105,FCF_N*(1+TGR)/($E105-TGR)/(1+$E105)^(Forecast_Years-Mid_Year),0))+Net_Bridge)/Shares,0)</f>
      </c>
      <c r="G105" s="65">
        <f>F105-Share_Price</f>
      </c>
    </row>
    <row r="106" hidden="1" spans="2:7" x14ac:dyDescent="0.25" outlineLevel="1" collapsed="1">
      <c r="B106" s="25">
        <f>B105+1</f>
      </c>
      <c r="C106" s="53">
        <f>IF(F105&lt;Share_Price,C105,E105)</f>
      </c>
      <c r="D106" s="53">
        <f>IF(F105&lt;Share_Price,E105,D105)</f>
      </c>
      <c r="E106" s="53">
        <f>(C106+D106)/2</f>
      </c>
      <c r="F106" s="65">
        <f>IF(Inputs_OK=1,(SUMPRODUCT(FCF_Used,In_Forecast,1/(1+$E106)^Disc_Period)+IF(Exit_Flag=1,EBITDA_N*Exit_Multiple/(1+$E106)^Forecast_Years,IF(TGR&lt;$E106,FCF_N*(1+TGR)/($E106-TGR)/(1+$E106)^(Forecast_Years-Mid_Year),0))+Net_Bridge)/Shares,0)</f>
      </c>
      <c r="G106" s="65">
        <f>F106-Share_Price</f>
      </c>
    </row>
    <row r="107" hidden="1" spans="2:7" x14ac:dyDescent="0.25" outlineLevel="1" collapsed="1">
      <c r="B107" s="25">
        <f>B106+1</f>
      </c>
      <c r="C107" s="53">
        <f>IF(F106&lt;Share_Price,C106,E106)</f>
      </c>
      <c r="D107" s="53">
        <f>IF(F106&lt;Share_Price,E106,D106)</f>
      </c>
      <c r="E107" s="53">
        <f>(C107+D107)/2</f>
      </c>
      <c r="F107" s="65">
        <f>IF(Inputs_OK=1,(SUMPRODUCT(FCF_Used,In_Forecast,1/(1+$E107)^Disc_Period)+IF(Exit_Flag=1,EBITDA_N*Exit_Multiple/(1+$E107)^Forecast_Years,IF(TGR&lt;$E107,FCF_N*(1+TGR)/($E107-TGR)/(1+$E107)^(Forecast_Years-Mid_Year),0))+Net_Bridge)/Shares,0)</f>
      </c>
      <c r="G107" s="65">
        <f>F107-Share_Price</f>
      </c>
    </row>
    <row r="108" hidden="1" spans="2:7" x14ac:dyDescent="0.25" outlineLevel="1" collapsed="1">
      <c r="B108" s="25">
        <f>B107+1</f>
      </c>
      <c r="C108" s="53">
        <f>IF(F107&lt;Share_Price,C107,E107)</f>
      </c>
      <c r="D108" s="53">
        <f>IF(F107&lt;Share_Price,E107,D107)</f>
      </c>
      <c r="E108" s="53">
        <f>(C108+D108)/2</f>
      </c>
      <c r="F108" s="65">
        <f>IF(Inputs_OK=1,(SUMPRODUCT(FCF_Used,In_Forecast,1/(1+$E108)^Disc_Period)+IF(Exit_Flag=1,EBITDA_N*Exit_Multiple/(1+$E108)^Forecast_Years,IF(TGR&lt;$E108,FCF_N*(1+TGR)/($E108-TGR)/(1+$E108)^(Forecast_Years-Mid_Year),0))+Net_Bridge)/Shares,0)</f>
      </c>
      <c r="G108" s="65">
        <f>F108-Share_Price</f>
      </c>
    </row>
    <row r="109" hidden="1" spans="2:7" x14ac:dyDescent="0.25" outlineLevel="1" collapsed="1">
      <c r="B109" s="25">
        <f>B108+1</f>
      </c>
      <c r="C109" s="53">
        <f>IF(F108&lt;Share_Price,C108,E108)</f>
      </c>
      <c r="D109" s="53">
        <f>IF(F108&lt;Share_Price,E108,D108)</f>
      </c>
      <c r="E109" s="53">
        <f>(C109+D109)/2</f>
      </c>
      <c r="F109" s="65">
        <f>IF(Inputs_OK=1,(SUMPRODUCT(FCF_Used,In_Forecast,1/(1+$E109)^Disc_Period)+IF(Exit_Flag=1,EBITDA_N*Exit_Multiple/(1+$E109)^Forecast_Years,IF(TGR&lt;$E109,FCF_N*(1+TGR)/($E109-TGR)/(1+$E109)^(Forecast_Years-Mid_Year),0))+Net_Bridge)/Shares,0)</f>
      </c>
      <c r="G109" s="65">
        <f>F109-Share_Price</f>
      </c>
    </row>
    <row r="110" hidden="1" spans="2:7" x14ac:dyDescent="0.25" outlineLevel="1" collapsed="1">
      <c r="B110" s="25">
        <f>B109+1</f>
      </c>
      <c r="C110" s="53">
        <f>IF(F109&lt;Share_Price,C109,E109)</f>
      </c>
      <c r="D110" s="53">
        <f>IF(F109&lt;Share_Price,E109,D109)</f>
      </c>
      <c r="E110" s="53">
        <f>(C110+D110)/2</f>
      </c>
      <c r="F110" s="65">
        <f>IF(Inputs_OK=1,(SUMPRODUCT(FCF_Used,In_Forecast,1/(1+$E110)^Disc_Period)+IF(Exit_Flag=1,EBITDA_N*Exit_Multiple/(1+$E110)^Forecast_Years,IF(TGR&lt;$E110,FCF_N*(1+TGR)/($E110-TGR)/(1+$E110)^(Forecast_Years-Mid_Year),0))+Net_Bridge)/Shares,0)</f>
      </c>
      <c r="G110" s="65">
        <f>F110-Share_Price</f>
      </c>
    </row>
    <row r="111" hidden="1" spans="2:7" x14ac:dyDescent="0.25" outlineLevel="1" collapsed="1">
      <c r="B111" s="25">
        <f>B110+1</f>
      </c>
      <c r="C111" s="53">
        <f>IF(F110&lt;Share_Price,C110,E110)</f>
      </c>
      <c r="D111" s="53">
        <f>IF(F110&lt;Share_Price,E110,D110)</f>
      </c>
      <c r="E111" s="53">
        <f>(C111+D111)/2</f>
      </c>
      <c r="F111" s="65">
        <f>IF(Inputs_OK=1,(SUMPRODUCT(FCF_Used,In_Forecast,1/(1+$E111)^Disc_Period)+IF(Exit_Flag=1,EBITDA_N*Exit_Multiple/(1+$E111)^Forecast_Years,IF(TGR&lt;$E111,FCF_N*(1+TGR)/($E111-TGR)/(1+$E111)^(Forecast_Years-Mid_Year),0))+Net_Bridge)/Shares,0)</f>
      </c>
      <c r="G111" s="65">
        <f>F111-Share_Price</f>
      </c>
    </row>
    <row r="112" hidden="1" spans="2:7" x14ac:dyDescent="0.25" outlineLevel="1" collapsed="1">
      <c r="B112" s="25">
        <f>B111+1</f>
      </c>
      <c r="C112" s="53">
        <f>IF(F111&lt;Share_Price,C111,E111)</f>
      </c>
      <c r="D112" s="53">
        <f>IF(F111&lt;Share_Price,E111,D111)</f>
      </c>
      <c r="E112" s="53">
        <f>(C112+D112)/2</f>
      </c>
      <c r="F112" s="65">
        <f>IF(Inputs_OK=1,(SUMPRODUCT(FCF_Used,In_Forecast,1/(1+$E112)^Disc_Period)+IF(Exit_Flag=1,EBITDA_N*Exit_Multiple/(1+$E112)^Forecast_Years,IF(TGR&lt;$E112,FCF_N*(1+TGR)/($E112-TGR)/(1+$E112)^(Forecast_Years-Mid_Year),0))+Net_Bridge)/Shares,0)</f>
      </c>
      <c r="G112" s="65">
        <f>F112-Share_Price</f>
      </c>
    </row>
    <row r="113" hidden="1" spans="2:7" x14ac:dyDescent="0.25" outlineLevel="1" collapsed="1">
      <c r="B113" s="25">
        <f>B112+1</f>
      </c>
      <c r="C113" s="53">
        <f>IF(F112&lt;Share_Price,C112,E112)</f>
      </c>
      <c r="D113" s="53">
        <f>IF(F112&lt;Share_Price,E112,D112)</f>
      </c>
      <c r="E113" s="53">
        <f>(C113+D113)/2</f>
      </c>
      <c r="F113" s="65">
        <f>IF(Inputs_OK=1,(SUMPRODUCT(FCF_Used,In_Forecast,1/(1+$E113)^Disc_Period)+IF(Exit_Flag=1,EBITDA_N*Exit_Multiple/(1+$E113)^Forecast_Years,IF(TGR&lt;$E113,FCF_N*(1+TGR)/($E113-TGR)/(1+$E113)^(Forecast_Years-Mid_Year),0))+Net_Bridge)/Shares,0)</f>
      </c>
      <c r="G113" s="65">
        <f>F113-Share_Price</f>
      </c>
    </row>
    <row r="114" hidden="1" spans="2:7" x14ac:dyDescent="0.25" outlineLevel="1" collapsed="1">
      <c r="B114" s="25">
        <f>B113+1</f>
      </c>
      <c r="C114" s="53">
        <f>IF(F113&lt;Share_Price,C113,E113)</f>
      </c>
      <c r="D114" s="53">
        <f>IF(F113&lt;Share_Price,E113,D113)</f>
      </c>
      <c r="E114" s="53">
        <f>(C114+D114)/2</f>
      </c>
      <c r="F114" s="65">
        <f>IF(Inputs_OK=1,(SUMPRODUCT(FCF_Used,In_Forecast,1/(1+$E114)^Disc_Period)+IF(Exit_Flag=1,EBITDA_N*Exit_Multiple/(1+$E114)^Forecast_Years,IF(TGR&lt;$E114,FCF_N*(1+TGR)/($E114-TGR)/(1+$E114)^(Forecast_Years-Mid_Year),0))+Net_Bridge)/Shares,0)</f>
      </c>
      <c r="G114" s="65">
        <f>F114-Share_Price</f>
      </c>
    </row>
    <row r="115" hidden="1" spans="2:7" x14ac:dyDescent="0.25" outlineLevel="1" collapsed="1">
      <c r="B115" s="25">
        <f>B114+1</f>
      </c>
      <c r="C115" s="53">
        <f>IF(F114&lt;Share_Price,C114,E114)</f>
      </c>
      <c r="D115" s="53">
        <f>IF(F114&lt;Share_Price,E114,D114)</f>
      </c>
      <c r="E115" s="53">
        <f>(C115+D115)/2</f>
      </c>
      <c r="F115" s="65">
        <f>IF(Inputs_OK=1,(SUMPRODUCT(FCF_Used,In_Forecast,1/(1+$E115)^Disc_Period)+IF(Exit_Flag=1,EBITDA_N*Exit_Multiple/(1+$E115)^Forecast_Years,IF(TGR&lt;$E115,FCF_N*(1+TGR)/($E115-TGR)/(1+$E115)^(Forecast_Years-Mid_Year),0))+Net_Bridge)/Shares,0)</f>
      </c>
      <c r="G115" s="65">
        <f>F115-Share_Price</f>
      </c>
    </row>
    <row r="116" hidden="1" spans="2:7" x14ac:dyDescent="0.25" outlineLevel="1" collapsed="1">
      <c r="B116" s="25">
        <f>B115+1</f>
      </c>
      <c r="C116" s="53">
        <f>IF(F115&lt;Share_Price,C115,E115)</f>
      </c>
      <c r="D116" s="53">
        <f>IF(F115&lt;Share_Price,E115,D115)</f>
      </c>
      <c r="E116" s="53">
        <f>(C116+D116)/2</f>
      </c>
      <c r="F116" s="65">
        <f>IF(Inputs_OK=1,(SUMPRODUCT(FCF_Used,In_Forecast,1/(1+$E116)^Disc_Period)+IF(Exit_Flag=1,EBITDA_N*Exit_Multiple/(1+$E116)^Forecast_Years,IF(TGR&lt;$E116,FCF_N*(1+TGR)/($E116-TGR)/(1+$E116)^(Forecast_Years-Mid_Year),0))+Net_Bridge)/Shares,0)</f>
      </c>
      <c r="G116" s="65">
        <f>F116-Share_Price</f>
      </c>
    </row>
    <row r="117" hidden="1" spans="2:7" x14ac:dyDescent="0.25" outlineLevel="1" collapsed="1">
      <c r="B117" s="25">
        <f>B116+1</f>
      </c>
      <c r="C117" s="53">
        <f>IF(F116&lt;Share_Price,C116,E116)</f>
      </c>
      <c r="D117" s="53">
        <f>IF(F116&lt;Share_Price,E116,D116)</f>
      </c>
      <c r="E117" s="53">
        <f>(C117+D117)/2</f>
      </c>
      <c r="F117" s="65">
        <f>IF(Inputs_OK=1,(SUMPRODUCT(FCF_Used,In_Forecast,1/(1+$E117)^Disc_Period)+IF(Exit_Flag=1,EBITDA_N*Exit_Multiple/(1+$E117)^Forecast_Years,IF(TGR&lt;$E117,FCF_N*(1+TGR)/($E117-TGR)/(1+$E117)^(Forecast_Years-Mid_Year),0))+Net_Bridge)/Shares,0)</f>
      </c>
      <c r="G117" s="65">
        <f>F117-Share_Price</f>
      </c>
    </row>
    <row r="118" hidden="1" spans="2:7" x14ac:dyDescent="0.25" outlineLevel="1" collapsed="1">
      <c r="B118" s="25">
        <f>B117+1</f>
      </c>
      <c r="C118" s="53">
        <f>IF(F117&lt;Share_Price,C117,E117)</f>
      </c>
      <c r="D118" s="53">
        <f>IF(F117&lt;Share_Price,E117,D117)</f>
      </c>
      <c r="E118" s="53">
        <f>(C118+D118)/2</f>
      </c>
      <c r="F118" s="65">
        <f>IF(Inputs_OK=1,(SUMPRODUCT(FCF_Used,In_Forecast,1/(1+$E118)^Disc_Period)+IF(Exit_Flag=1,EBITDA_N*Exit_Multiple/(1+$E118)^Forecast_Years,IF(TGR&lt;$E118,FCF_N*(1+TGR)/($E118-TGR)/(1+$E118)^(Forecast_Years-Mid_Year),0))+Net_Bridge)/Shares,0)</f>
      </c>
      <c r="G118" s="65">
        <f>F118-Share_Price</f>
      </c>
    </row>
    <row r="119" hidden="1" spans="2:7" x14ac:dyDescent="0.25" outlineLevel="1" collapsed="1">
      <c r="B119" s="25">
        <f>B118+1</f>
      </c>
      <c r="C119" s="53">
        <f>IF(F118&lt;Share_Price,C118,E118)</f>
      </c>
      <c r="D119" s="53">
        <f>IF(F118&lt;Share_Price,E118,D118)</f>
      </c>
      <c r="E119" s="53">
        <f>(C119+D119)/2</f>
      </c>
      <c r="F119" s="65">
        <f>IF(Inputs_OK=1,(SUMPRODUCT(FCF_Used,In_Forecast,1/(1+$E119)^Disc_Period)+IF(Exit_Flag=1,EBITDA_N*Exit_Multiple/(1+$E119)^Forecast_Years,IF(TGR&lt;$E119,FCF_N*(1+TGR)/($E119-TGR)/(1+$E119)^(Forecast_Years-Mid_Year),0))+Net_Bridge)/Shares,0)</f>
      </c>
      <c r="G119" s="65">
        <f>F119-Share_Price</f>
      </c>
    </row>
    <row r="120" hidden="1" spans="2:7" x14ac:dyDescent="0.25" outlineLevel="1" collapsed="1">
      <c r="B120" s="25">
        <f>B119+1</f>
      </c>
      <c r="C120" s="53">
        <f>IF(F119&lt;Share_Price,C119,E119)</f>
      </c>
      <c r="D120" s="53">
        <f>IF(F119&lt;Share_Price,E119,D119)</f>
      </c>
      <c r="E120" s="53">
        <f>(C120+D120)/2</f>
      </c>
      <c r="F120" s="65">
        <f>IF(Inputs_OK=1,(SUMPRODUCT(FCF_Used,In_Forecast,1/(1+$E120)^Disc_Period)+IF(Exit_Flag=1,EBITDA_N*Exit_Multiple/(1+$E120)^Forecast_Years,IF(TGR&lt;$E120,FCF_N*(1+TGR)/($E120-TGR)/(1+$E120)^(Forecast_Years-Mid_Year),0))+Net_Bridge)/Shares,0)</f>
      </c>
      <c r="G120" s="65">
        <f>F120-Share_Price</f>
      </c>
    </row>
    <row r="121" hidden="1" spans="2:7" x14ac:dyDescent="0.25" outlineLevel="1" collapsed="1">
      <c r="B121" s="25">
        <f>B120+1</f>
      </c>
      <c r="C121" s="53">
        <f>IF(F120&lt;Share_Price,C120,E120)</f>
      </c>
      <c r="D121" s="53">
        <f>IF(F120&lt;Share_Price,E120,D120)</f>
      </c>
      <c r="E121" s="53">
        <f>(C121+D121)/2</f>
      </c>
      <c r="F121" s="65">
        <f>IF(Inputs_OK=1,(SUMPRODUCT(FCF_Used,In_Forecast,1/(1+$E121)^Disc_Period)+IF(Exit_Flag=1,EBITDA_N*Exit_Multiple/(1+$E121)^Forecast_Years,IF(TGR&lt;$E121,FCF_N*(1+TGR)/($E121-TGR)/(1+$E121)^(Forecast_Years-Mid_Year),0))+Net_Bridge)/Shares,0)</f>
      </c>
      <c r="G121" s="65">
        <f>F121-Share_Price</f>
      </c>
    </row>
    <row r="122" hidden="1" spans="2:7" x14ac:dyDescent="0.25" outlineLevel="1" collapsed="1">
      <c r="B122" s="25">
        <f>B121+1</f>
      </c>
      <c r="C122" s="53">
        <f>IF(F121&lt;Share_Price,C121,E121)</f>
      </c>
      <c r="D122" s="53">
        <f>IF(F121&lt;Share_Price,E121,D121)</f>
      </c>
      <c r="E122" s="53">
        <f>(C122+D122)/2</f>
      </c>
      <c r="F122" s="65">
        <f>IF(Inputs_OK=1,(SUMPRODUCT(FCF_Used,In_Forecast,1/(1+$E122)^Disc_Period)+IF(Exit_Flag=1,EBITDA_N*Exit_Multiple/(1+$E122)^Forecast_Years,IF(TGR&lt;$E122,FCF_N*(1+TGR)/($E122-TGR)/(1+$E122)^(Forecast_Years-Mid_Year),0))+Net_Bridge)/Shares,0)</f>
      </c>
      <c r="G122" s="65">
        <f>F122-Share_Price</f>
      </c>
    </row>
    <row r="123" hidden="1" spans="2:7" x14ac:dyDescent="0.25" outlineLevel="1" collapsed="1">
      <c r="B123" s="25">
        <f>B122+1</f>
      </c>
      <c r="C123" s="53">
        <f>IF(F122&lt;Share_Price,C122,E122)</f>
      </c>
      <c r="D123" s="53">
        <f>IF(F122&lt;Share_Price,E122,D122)</f>
      </c>
      <c r="E123" s="53">
        <f>(C123+D123)/2</f>
      </c>
      <c r="F123" s="65">
        <f>IF(Inputs_OK=1,(SUMPRODUCT(FCF_Used,In_Forecast,1/(1+$E123)^Disc_Period)+IF(Exit_Flag=1,EBITDA_N*Exit_Multiple/(1+$E123)^Forecast_Years,IF(TGR&lt;$E123,FCF_N*(1+TGR)/($E123-TGR)/(1+$E123)^(Forecast_Years-Mid_Year),0))+Net_Bridge)/Shares,0)</f>
      </c>
      <c r="G123" s="65">
        <f>F123-Share_Price</f>
      </c>
    </row>
    <row r="124" hidden="1" spans="2:7" x14ac:dyDescent="0.25" outlineLevel="1" collapsed="1">
      <c r="B124" s="25">
        <f>B123+1</f>
      </c>
      <c r="C124" s="53">
        <f>IF(F123&lt;Share_Price,C123,E123)</f>
      </c>
      <c r="D124" s="53">
        <f>IF(F123&lt;Share_Price,E123,D123)</f>
      </c>
      <c r="E124" s="53">
        <f>(C124+D124)/2</f>
      </c>
      <c r="F124" s="65">
        <f>IF(Inputs_OK=1,(SUMPRODUCT(FCF_Used,In_Forecast,1/(1+$E124)^Disc_Period)+IF(Exit_Flag=1,EBITDA_N*Exit_Multiple/(1+$E124)^Forecast_Years,IF(TGR&lt;$E124,FCF_N*(1+TGR)/($E124-TGR)/(1+$E124)^(Forecast_Years-Mid_Year),0))+Net_Bridge)/Shares,0)</f>
      </c>
      <c r="G124" s="65">
        <f>F124-Share_Price</f>
      </c>
    </row>
    <row r="125" hidden="1" spans="2:7" x14ac:dyDescent="0.25" outlineLevel="1" collapsed="1">
      <c r="B125" s="25">
        <f>B124+1</f>
      </c>
      <c r="C125" s="53">
        <f>IF(F124&lt;Share_Price,C124,E124)</f>
      </c>
      <c r="D125" s="53">
        <f>IF(F124&lt;Share_Price,E124,D124)</f>
      </c>
      <c r="E125" s="53">
        <f>(C125+D125)/2</f>
      </c>
      <c r="F125" s="65">
        <f>IF(Inputs_OK=1,(SUMPRODUCT(FCF_Used,In_Forecast,1/(1+$E125)^Disc_Period)+IF(Exit_Flag=1,EBITDA_N*Exit_Multiple/(1+$E125)^Forecast_Years,IF(TGR&lt;$E125,FCF_N*(1+TGR)/($E125-TGR)/(1+$E125)^(Forecast_Years-Mid_Year),0))+Net_Bridge)/Shares,0)</f>
      </c>
      <c r="G125" s="65">
        <f>F125-Share_Price</f>
      </c>
    </row>
    <row r="126" hidden="1" spans="2:7" x14ac:dyDescent="0.25" outlineLevel="1" collapsed="1">
      <c r="B126" s="25">
        <f>B125+1</f>
      </c>
      <c r="C126" s="53">
        <f>IF(F125&lt;Share_Price,C125,E125)</f>
      </c>
      <c r="D126" s="53">
        <f>IF(F125&lt;Share_Price,E125,D125)</f>
      </c>
      <c r="E126" s="53">
        <f>(C126+D126)/2</f>
      </c>
      <c r="F126" s="65">
        <f>IF(Inputs_OK=1,(SUMPRODUCT(FCF_Used,In_Forecast,1/(1+$E126)^Disc_Period)+IF(Exit_Flag=1,EBITDA_N*Exit_Multiple/(1+$E126)^Forecast_Years,IF(TGR&lt;$E126,FCF_N*(1+TGR)/($E126-TGR)/(1+$E126)^(Forecast_Years-Mid_Year),0))+Net_Bridge)/Shares,0)</f>
      </c>
      <c r="G126" s="65">
        <f>F126-Share_Price</f>
      </c>
    </row>
    <row r="127" hidden="1" spans="2:7" x14ac:dyDescent="0.25" outlineLevel="1" collapsed="1">
      <c r="B127" s="25">
        <f>B126+1</f>
      </c>
      <c r="C127" s="53">
        <f>IF(F126&lt;Share_Price,C126,E126)</f>
      </c>
      <c r="D127" s="53">
        <f>IF(F126&lt;Share_Price,E126,D126)</f>
      </c>
      <c r="E127" s="53">
        <f>(C127+D127)/2</f>
      </c>
      <c r="F127" s="65">
        <f>IF(Inputs_OK=1,(SUMPRODUCT(FCF_Used,In_Forecast,1/(1+$E127)^Disc_Period)+IF(Exit_Flag=1,EBITDA_N*Exit_Multiple/(1+$E127)^Forecast_Years,IF(TGR&lt;$E127,FCF_N*(1+TGR)/($E127-TGR)/(1+$E127)^(Forecast_Years-Mid_Year),0))+Net_Bridge)/Shares,0)</f>
      </c>
      <c r="G127" s="65">
        <f>F127-Share_Price</f>
      </c>
    </row>
    <row r="128" hidden="1" spans="2:7" x14ac:dyDescent="0.25" outlineLevel="1" collapsed="1">
      <c r="B128" s="25">
        <f>B127+1</f>
      </c>
      <c r="C128" s="53">
        <f>IF(F127&lt;Share_Price,C127,E127)</f>
      </c>
      <c r="D128" s="53">
        <f>IF(F127&lt;Share_Price,E127,D127)</f>
      </c>
      <c r="E128" s="53">
        <f>(C128+D128)/2</f>
      </c>
      <c r="F128" s="65">
        <f>IF(Inputs_OK=1,(SUMPRODUCT(FCF_Used,In_Forecast,1/(1+$E128)^Disc_Period)+IF(Exit_Flag=1,EBITDA_N*Exit_Multiple/(1+$E128)^Forecast_Years,IF(TGR&lt;$E128,FCF_N*(1+TGR)/($E128-TGR)/(1+$E128)^(Forecast_Years-Mid_Year),0))+Net_Bridge)/Shares,0)</f>
      </c>
      <c r="G128" s="65">
        <f>F128-Share_Price</f>
      </c>
    </row>
    <row r="129" hidden="1" spans="2:7" x14ac:dyDescent="0.25" outlineLevel="1" collapsed="1">
      <c r="B129" s="25">
        <f>B128+1</f>
      </c>
      <c r="C129" s="53">
        <f>IF(F128&lt;Share_Price,C128,E128)</f>
      </c>
      <c r="D129" s="53">
        <f>IF(F128&lt;Share_Price,E128,D128)</f>
      </c>
      <c r="E129" s="53">
        <f>(C129+D129)/2</f>
      </c>
      <c r="F129" s="65">
        <f>IF(Inputs_OK=1,(SUMPRODUCT(FCF_Used,In_Forecast,1/(1+$E129)^Disc_Period)+IF(Exit_Flag=1,EBITDA_N*Exit_Multiple/(1+$E129)^Forecast_Years,IF(TGR&lt;$E129,FCF_N*(1+TGR)/($E129-TGR)/(1+$E129)^(Forecast_Years-Mid_Year),0))+Net_Bridge)/Shares,0)</f>
      </c>
      <c r="G129" s="65">
        <f>F129-Share_Price</f>
      </c>
    </row>
    <row r="130" hidden="1" spans="2:7" x14ac:dyDescent="0.25" outlineLevel="1" collapsed="1">
      <c r="B130" s="25">
        <f>B129+1</f>
      </c>
      <c r="C130" s="53">
        <f>IF(F129&lt;Share_Price,C129,E129)</f>
      </c>
      <c r="D130" s="53">
        <f>IF(F129&lt;Share_Price,E129,D129)</f>
      </c>
      <c r="E130" s="53">
        <f>(C130+D130)/2</f>
      </c>
      <c r="F130" s="65">
        <f>IF(Inputs_OK=1,(SUMPRODUCT(FCF_Used,In_Forecast,1/(1+$E130)^Disc_Period)+IF(Exit_Flag=1,EBITDA_N*Exit_Multiple/(1+$E130)^Forecast_Years,IF(TGR&lt;$E130,FCF_N*(1+TGR)/($E130-TGR)/(1+$E130)^(Forecast_Years-Mid_Year),0))+Net_Bridge)/Shares,0)</f>
      </c>
      <c r="G130" s="65">
        <f>F130-Share_Price</f>
      </c>
    </row>
    <row r="131" hidden="1" spans="2:7" x14ac:dyDescent="0.25" outlineLevel="1" collapsed="1">
      <c r="B131" s="25">
        <f>B130+1</f>
      </c>
      <c r="C131" s="53">
        <f>IF(F130&lt;Share_Price,C130,E130)</f>
      </c>
      <c r="D131" s="53">
        <f>IF(F130&lt;Share_Price,E130,D130)</f>
      </c>
      <c r="E131" s="53">
        <f>(C131+D131)/2</f>
      </c>
      <c r="F131" s="65">
        <f>IF(Inputs_OK=1,(SUMPRODUCT(FCF_Used,In_Forecast,1/(1+$E131)^Disc_Period)+IF(Exit_Flag=1,EBITDA_N*Exit_Multiple/(1+$E131)^Forecast_Years,IF(TGR&lt;$E131,FCF_N*(1+TGR)/($E131-TGR)/(1+$E131)^(Forecast_Years-Mid_Year),0))+Net_Bridge)/Shares,0)</f>
      </c>
      <c r="G131" s="65">
        <f>F131-Share_Price</f>
      </c>
    </row>
    <row r="132" hidden="1" spans="2:7" x14ac:dyDescent="0.25" outlineLevel="1" collapsed="1">
      <c r="B132" s="25">
        <f>B131+1</f>
      </c>
      <c r="C132" s="53">
        <f>IF(F131&lt;Share_Price,C131,E131)</f>
      </c>
      <c r="D132" s="53">
        <f>IF(F131&lt;Share_Price,E131,D131)</f>
      </c>
      <c r="E132" s="53">
        <f>(C132+D132)/2</f>
      </c>
      <c r="F132" s="65">
        <f>IF(Inputs_OK=1,(SUMPRODUCT(FCF_Used,In_Forecast,1/(1+$E132)^Disc_Period)+IF(Exit_Flag=1,EBITDA_N*Exit_Multiple/(1+$E132)^Forecast_Years,IF(TGR&lt;$E132,FCF_N*(1+TGR)/($E132-TGR)/(1+$E132)^(Forecast_Years-Mid_Year),0))+Net_Bridge)/Shares,0)</f>
      </c>
      <c r="G132" s="65">
        <f>F132-Share_Price</f>
      </c>
    </row>
    <row r="133" hidden="1" spans="2:7" x14ac:dyDescent="0.25" outlineLevel="1" collapsed="1">
      <c r="B133" s="25">
        <f>B132+1</f>
      </c>
      <c r="C133" s="53">
        <f>IF(F132&lt;Share_Price,C132,E132)</f>
      </c>
      <c r="D133" s="53">
        <f>IF(F132&lt;Share_Price,E132,D132)</f>
      </c>
      <c r="E133" s="53">
        <f>(C133+D133)/2</f>
      </c>
      <c r="F133" s="65">
        <f>IF(Inputs_OK=1,(SUMPRODUCT(FCF_Used,In_Forecast,1/(1+$E133)^Disc_Period)+IF(Exit_Flag=1,EBITDA_N*Exit_Multiple/(1+$E133)^Forecast_Years,IF(TGR&lt;$E133,FCF_N*(1+TGR)/($E133-TGR)/(1+$E133)^(Forecast_Years-Mid_Year),0))+Net_Bridge)/Shares,0)</f>
      </c>
      <c r="G133" s="65">
        <f>F133-Share_Price</f>
      </c>
    </row>
    <row r="134" hidden="1" spans="2:7" x14ac:dyDescent="0.25" outlineLevel="1" collapsed="1">
      <c r="B134" s="25">
        <f>B133+1</f>
      </c>
      <c r="C134" s="53">
        <f>IF(F133&lt;Share_Price,C133,E133)</f>
      </c>
      <c r="D134" s="53">
        <f>IF(F133&lt;Share_Price,E133,D133)</f>
      </c>
      <c r="E134" s="53">
        <f>(C134+D134)/2</f>
      </c>
      <c r="F134" s="65">
        <f>IF(Inputs_OK=1,(SUMPRODUCT(FCF_Used,In_Forecast,1/(1+$E134)^Disc_Period)+IF(Exit_Flag=1,EBITDA_N*Exit_Multiple/(1+$E134)^Forecast_Years,IF(TGR&lt;$E134,FCF_N*(1+TGR)/($E134-TGR)/(1+$E134)^(Forecast_Years-Mid_Year),0))+Net_Bridge)/Shares,0)</f>
      </c>
      <c r="G134" s="65">
        <f>F134-Share_Price</f>
      </c>
    </row>
    <row r="135" hidden="1" spans="2:7" x14ac:dyDescent="0.25" outlineLevel="1" collapsed="1">
      <c r="B135" s="25">
        <f>B134+1</f>
      </c>
      <c r="C135" s="53">
        <f>IF(F134&lt;Share_Price,C134,E134)</f>
      </c>
      <c r="D135" s="53">
        <f>IF(F134&lt;Share_Price,E134,D134)</f>
      </c>
      <c r="E135" s="53">
        <f>(C135+D135)/2</f>
      </c>
      <c r="F135" s="65">
        <f>IF(Inputs_OK=1,(SUMPRODUCT(FCF_Used,In_Forecast,1/(1+$E135)^Disc_Period)+IF(Exit_Flag=1,EBITDA_N*Exit_Multiple/(1+$E135)^Forecast_Years,IF(TGR&lt;$E135,FCF_N*(1+TGR)/($E135-TGR)/(1+$E135)^(Forecast_Years-Mid_Year),0))+Net_Bridge)/Shares,0)</f>
      </c>
      <c r="G135" s="65">
        <f>F135-Share_Price</f>
      </c>
    </row>
    <row r="136" hidden="1" spans="2:7" x14ac:dyDescent="0.25" outlineLevel="1" collapsed="1">
      <c r="B136" s="25">
        <f>B135+1</f>
      </c>
      <c r="C136" s="53">
        <f>IF(F135&lt;Share_Price,C135,E135)</f>
      </c>
      <c r="D136" s="53">
        <f>IF(F135&lt;Share_Price,E135,D135)</f>
      </c>
      <c r="E136" s="53">
        <f>(C136+D136)/2</f>
      </c>
      <c r="F136" s="65">
        <f>IF(Inputs_OK=1,(SUMPRODUCT(FCF_Used,In_Forecast,1/(1+$E136)^Disc_Period)+IF(Exit_Flag=1,EBITDA_N*Exit_Multiple/(1+$E136)^Forecast_Years,IF(TGR&lt;$E136,FCF_N*(1+TGR)/($E136-TGR)/(1+$E136)^(Forecast_Years-Mid_Year),0))+Net_Bridge)/Shares,0)</f>
      </c>
      <c r="G136" s="65">
        <f>F136-Share_Price</f>
      </c>
    </row>
    <row r="137" hidden="1" spans="2:7" x14ac:dyDescent="0.25" outlineLevel="1" collapsed="1">
      <c r="B137" s="25">
        <f>B136+1</f>
      </c>
      <c r="C137" s="53">
        <f>IF(F136&lt;Share_Price,C136,E136)</f>
      </c>
      <c r="D137" s="53">
        <f>IF(F136&lt;Share_Price,E136,D136)</f>
      </c>
      <c r="E137" s="53">
        <f>(C137+D137)/2</f>
      </c>
      <c r="F137" s="65">
        <f>IF(Inputs_OK=1,(SUMPRODUCT(FCF_Used,In_Forecast,1/(1+$E137)^Disc_Period)+IF(Exit_Flag=1,EBITDA_N*Exit_Multiple/(1+$E137)^Forecast_Years,IF(TGR&lt;$E137,FCF_N*(1+TGR)/($E137-TGR)/(1+$E137)^(Forecast_Years-Mid_Year),0))+Net_Bridge)/Shares,0)</f>
      </c>
      <c r="G137" s="65">
        <f>F137-Share_Price</f>
      </c>
    </row>
    <row r="138" hidden="1" spans="2:7" x14ac:dyDescent="0.25" outlineLevel="1" collapsed="1">
      <c r="B138" s="25">
        <f>B137+1</f>
      </c>
      <c r="C138" s="53">
        <f>IF(F137&lt;Share_Price,C137,E137)</f>
      </c>
      <c r="D138" s="53">
        <f>IF(F137&lt;Share_Price,E137,D137)</f>
      </c>
      <c r="E138" s="53">
        <f>(C138+D138)/2</f>
      </c>
      <c r="F138" s="65">
        <f>IF(Inputs_OK=1,(SUMPRODUCT(FCF_Used,In_Forecast,1/(1+$E138)^Disc_Period)+IF(Exit_Flag=1,EBITDA_N*Exit_Multiple/(1+$E138)^Forecast_Years,IF(TGR&lt;$E138,FCF_N*(1+TGR)/($E138-TGR)/(1+$E138)^(Forecast_Years-Mid_Year),0))+Net_Bridge)/Shares,0)</f>
      </c>
      <c r="G138" s="65">
        <f>F138-Share_Price</f>
      </c>
    </row>
    <row r="139" hidden="1" spans="2:7" x14ac:dyDescent="0.25" outlineLevel="1" collapsed="1">
      <c r="B139" s="25">
        <f>B138+1</f>
      </c>
      <c r="C139" s="53">
        <f>IF(F138&lt;Share_Price,C138,E138)</f>
      </c>
      <c r="D139" s="53">
        <f>IF(F138&lt;Share_Price,E138,D138)</f>
      </c>
      <c r="E139" s="53">
        <f>(C139+D139)/2</f>
      </c>
      <c r="F139" s="65">
        <f>IF(Inputs_OK=1,(SUMPRODUCT(FCF_Used,In_Forecast,1/(1+$E139)^Disc_Period)+IF(Exit_Flag=1,EBITDA_N*Exit_Multiple/(1+$E139)^Forecast_Years,IF(TGR&lt;$E139,FCF_N*(1+TGR)/($E139-TGR)/(1+$E139)^(Forecast_Years-Mid_Year),0))+Net_Bridge)/Shares,0)</f>
      </c>
      <c r="G139" s="65">
        <f>F139-Share_Price</f>
      </c>
    </row>
    <row r="140" hidden="1" spans="2:7" x14ac:dyDescent="0.25" outlineLevel="1" collapsed="1">
      <c r="B140" s="25">
        <f>B139+1</f>
      </c>
      <c r="C140" s="53">
        <f>IF(F139&lt;Share_Price,C139,E139)</f>
      </c>
      <c r="D140" s="53">
        <f>IF(F139&lt;Share_Price,E139,D139)</f>
      </c>
      <c r="E140" s="53">
        <f>(C140+D140)/2</f>
      </c>
      <c r="F140" s="65">
        <f>IF(Inputs_OK=1,(SUMPRODUCT(FCF_Used,In_Forecast,1/(1+$E140)^Disc_Period)+IF(Exit_Flag=1,EBITDA_N*Exit_Multiple/(1+$E140)^Forecast_Years,IF(TGR&lt;$E140,FCF_N*(1+TGR)/($E140-TGR)/(1+$E140)^(Forecast_Years-Mid_Year),0))+Net_Bridge)/Shares,0)</f>
      </c>
      <c r="G140" s="65">
        <f>F140-Share_Price</f>
      </c>
    </row>
    <row r="141" hidden="1" spans="2:7" x14ac:dyDescent="0.25" outlineLevel="1" collapsed="1">
      <c r="B141" s="25">
        <f>B140+1</f>
      </c>
      <c r="C141" s="53">
        <f>IF(F140&lt;Share_Price,C140,E140)</f>
      </c>
      <c r="D141" s="53">
        <f>IF(F140&lt;Share_Price,E140,D140)</f>
      </c>
      <c r="E141" s="53">
        <f>(C141+D141)/2</f>
      </c>
      <c r="F141" s="65">
        <f>IF(Inputs_OK=1,(SUMPRODUCT(FCF_Used,In_Forecast,1/(1+$E141)^Disc_Period)+IF(Exit_Flag=1,EBITDA_N*Exit_Multiple/(1+$E141)^Forecast_Years,IF(TGR&lt;$E141,FCF_N*(1+TGR)/($E141-TGR)/(1+$E141)^(Forecast_Years-Mid_Year),0))+Net_Bridge)/Shares,0)</f>
      </c>
      <c r="G141" s="65">
        <f>F141-Share_Price</f>
      </c>
    </row>
    <row r="142" hidden="1" spans="2:7" x14ac:dyDescent="0.25" outlineLevel="1" collapsed="1">
      <c r="B142" s="25">
        <f>B141+1</f>
      </c>
      <c r="C142" s="53">
        <f>IF(F141&lt;Share_Price,C141,E141)</f>
      </c>
      <c r="D142" s="53">
        <f>IF(F141&lt;Share_Price,E141,D141)</f>
      </c>
      <c r="E142" s="53">
        <f>(C142+D142)/2</f>
      </c>
      <c r="F142" s="65">
        <f>IF(Inputs_OK=1,(SUMPRODUCT(FCF_Used,In_Forecast,1/(1+$E142)^Disc_Period)+IF(Exit_Flag=1,EBITDA_N*Exit_Multiple/(1+$E142)^Forecast_Years,IF(TGR&lt;$E142,FCF_N*(1+TGR)/($E142-TGR)/(1+$E142)^(Forecast_Years-Mid_Year),0))+Net_Bridge)/Shares,0)</f>
      </c>
      <c r="G142" s="65">
        <f>F142-Share_Price</f>
      </c>
    </row>
    <row r="143" hidden="1" spans="2:7" x14ac:dyDescent="0.25" outlineLevel="1" collapsed="1">
      <c r="B143" s="25">
        <f>B142+1</f>
      </c>
      <c r="C143" s="53">
        <f>IF(F142&lt;Share_Price,C142,E142)</f>
      </c>
      <c r="D143" s="53">
        <f>IF(F142&lt;Share_Price,E142,D142)</f>
      </c>
      <c r="E143" s="53">
        <f>(C143+D143)/2</f>
      </c>
      <c r="F143" s="65">
        <f>IF(Inputs_OK=1,(SUMPRODUCT(FCF_Used,In_Forecast,1/(1+$E143)^Disc_Period)+IF(Exit_Flag=1,EBITDA_N*Exit_Multiple/(1+$E143)^Forecast_Years,IF(TGR&lt;$E143,FCF_N*(1+TGR)/($E143-TGR)/(1+$E143)^(Forecast_Years-Mid_Year),0))+Net_Bridge)/Shares,0)</f>
      </c>
      <c r="G143" s="65">
        <f>F143-Share_Price</f>
      </c>
    </row>
    <row r="144" hidden="1" spans="2:7" x14ac:dyDescent="0.25" outlineLevel="1" collapsed="1">
      <c r="B144" s="25">
        <f>B143+1</f>
      </c>
      <c r="C144" s="53">
        <f>IF(F143&lt;Share_Price,C143,E143)</f>
      </c>
      <c r="D144" s="53">
        <f>IF(F143&lt;Share_Price,E143,D143)</f>
      </c>
      <c r="E144" s="53">
        <f>(C144+D144)/2</f>
      </c>
      <c r="F144" s="65">
        <f>IF(Inputs_OK=1,(SUMPRODUCT(FCF_Used,In_Forecast,1/(1+$E144)^Disc_Period)+IF(Exit_Flag=1,EBITDA_N*Exit_Multiple/(1+$E144)^Forecast_Years,IF(TGR&lt;$E144,FCF_N*(1+TGR)/($E144-TGR)/(1+$E144)^(Forecast_Years-Mid_Year),0))+Net_Bridge)/Shares,0)</f>
      </c>
      <c r="G144" s="65">
        <f>F144-Share_Price</f>
      </c>
    </row>
    <row r="145" hidden="1" spans="2:7" x14ac:dyDescent="0.25" outlineLevel="1" collapsed="1">
      <c r="B145" s="25">
        <f>B144+1</f>
      </c>
      <c r="C145" s="53">
        <f>IF(F144&lt;Share_Price,C144,E144)</f>
      </c>
      <c r="D145" s="53">
        <f>IF(F144&lt;Share_Price,E144,D144)</f>
      </c>
      <c r="E145" s="53">
        <f>(C145+D145)/2</f>
      </c>
      <c r="F145" s="65">
        <f>IF(Inputs_OK=1,(SUMPRODUCT(FCF_Used,In_Forecast,1/(1+$E145)^Disc_Period)+IF(Exit_Flag=1,EBITDA_N*Exit_Multiple/(1+$E145)^Forecast_Years,IF(TGR&lt;$E145,FCF_N*(1+TGR)/($E145-TGR)/(1+$E145)^(Forecast_Years-Mid_Year),0))+Net_Bridge)/Shares,0)</f>
      </c>
      <c r="G145" s="65">
        <f>F145-Share_Price</f>
      </c>
    </row>
    <row r="146" hidden="1" spans="2:7" x14ac:dyDescent="0.25" outlineLevel="1" collapsed="1">
      <c r="B146" s="25">
        <f>B145+1</f>
      </c>
      <c r="C146" s="53">
        <f>IF(F145&lt;Share_Price,C145,E145)</f>
      </c>
      <c r="D146" s="53">
        <f>IF(F145&lt;Share_Price,E145,D145)</f>
      </c>
      <c r="E146" s="53">
        <f>(C146+D146)/2</f>
      </c>
      <c r="F146" s="65">
        <f>IF(Inputs_OK=1,(SUMPRODUCT(FCF_Used,In_Forecast,1/(1+$E146)^Disc_Period)+IF(Exit_Flag=1,EBITDA_N*Exit_Multiple/(1+$E146)^Forecast_Years,IF(TGR&lt;$E146,FCF_N*(1+TGR)/($E146-TGR)/(1+$E146)^(Forecast_Years-Mid_Year),0))+Net_Bridge)/Shares,0)</f>
      </c>
      <c r="G146" s="65">
        <f>F146-Share_Price</f>
      </c>
    </row>
    <row r="147" hidden="1" spans="2:7" x14ac:dyDescent="0.25" outlineLevel="1" collapsed="1">
      <c r="B147" s="25">
        <f>B146+1</f>
      </c>
      <c r="C147" s="53">
        <f>IF(F146&lt;Share_Price,C146,E146)</f>
      </c>
      <c r="D147" s="53">
        <f>IF(F146&lt;Share_Price,E146,D146)</f>
      </c>
      <c r="E147" s="53">
        <f>(C147+D147)/2</f>
      </c>
      <c r="F147" s="65">
        <f>IF(Inputs_OK=1,(SUMPRODUCT(FCF_Used,In_Forecast,1/(1+$E147)^Disc_Period)+IF(Exit_Flag=1,EBITDA_N*Exit_Multiple/(1+$E147)^Forecast_Years,IF(TGR&lt;$E147,FCF_N*(1+TGR)/($E147-TGR)/(1+$E147)^(Forecast_Years-Mid_Year),0))+Net_Bridge)/Shares,0)</f>
      </c>
      <c r="G147" s="65">
        <f>F147-Share_Price</f>
      </c>
    </row>
    <row r="148" hidden="1" spans="2:5" x14ac:dyDescent="0.25" outlineLevel="1" collapsed="1">
      <c r="B148" s="77" t="s">
        <v>204</v>
      </c>
      <c r="C148" s="53">
        <f>IF(F147&lt;Share_Price,C147,E147)</f>
      </c>
      <c r="D148" s="53">
        <f>IF(F147&lt;Share_Price,E147,D147)</f>
      </c>
      <c r="E148" s="54">
        <f>(C148+D148)/2</f>
      </c>
    </row>
    <row r="149" spans="2:2" x14ac:dyDescent="0.25">
      <c r="B149" s="77" t="s">
        <v>232</v>
      </c>
    </row>
    <row r="150" spans="2:6" x14ac:dyDescent="0.25">
      <c r="B150" s="7" t="s">
        <v>233</v>
      </c>
      <c r="E150" s="53">
        <f>C88</f>
      </c>
      <c r="F150" s="65">
        <f>IF(Inputs_OK=1,(SUMPRODUCT(FCF_Used,In_Forecast,1/(1+$E150)^Disc_Period)+IF(Exit_Flag=1,EBITDA_N*Exit_Multiple/(1+$E150)^Forecast_Years,IF(TGR&lt;$E150,FCF_N*(1+TGR)/($E150-TGR)/(1+$E150)^(Forecast_Years-Mid_Year),0))+Net_Bridge)/Shares,0)</f>
      </c>
    </row>
    <row r="151" spans="2:6" x14ac:dyDescent="0.25">
      <c r="B151" s="7" t="s">
        <v>234</v>
      </c>
      <c r="E151" s="53">
        <f>D88</f>
      </c>
      <c r="F151" s="65">
        <f>IF(Inputs_OK=1,(SUMPRODUCT(FCF_Used,In_Forecast,1/(1+$E151)^Disc_Period)+IF(Exit_Flag=1,EBITDA_N*Exit_Multiple/(1+$E151)^Forecast_Years,IF(TGR&lt;$E151,FCF_N*(1+TGR)/($E151-TGR)/(1+$E151)^(Forecast_Years-Mid_Year),0))+Net_Bridge)/Shares,0)</f>
      </c>
    </row>
    <row r="152" spans="2:6" x14ac:dyDescent="0.25">
      <c r="B152" s="7" t="s">
        <v>235</v>
      </c>
      <c r="E152" s="53">
        <f>E148</f>
      </c>
      <c r="F152" s="65">
        <f>IF(Inputs_OK=1,(SUMPRODUCT(FCF_Used,In_Forecast,1/(1+$E152)^Disc_Period)+IF(Exit_Flag=1,EBITDA_N*Exit_Multiple/(1+$E152)^Forecast_Years,IF(TGR&lt;$E152,FCF_N*(1+TGR)/($E152-TGR)/(1+$E152)^(Forecast_Years-Mid_Year),0))+Net_Bridge)/Shares,0)</f>
      </c>
    </row>
  </sheetData>
  <mergeCells count="8">
    <mergeCell ref="B8:D8"/>
    <mergeCell ref="B9:D9"/>
    <mergeCell ref="B10:D10"/>
    <mergeCell ref="B11:D11"/>
    <mergeCell ref="B12:G12"/>
    <mergeCell ref="B14:D14"/>
    <mergeCell ref="B15:D15"/>
    <mergeCell ref="B16:D16"/>
  </mergeCells>
  <pageMargins left="0.5" right="0.5" top="0.6" bottom="0.6" header="0.3" footer="0.3"/>
  <pageSetup paperSize="9" orientation="portrait" fitToWidth="1" fitToHeight="1"/>
  <headerFooter>
    <oddFooter>&amp;L&amp;"Arial"&amp;8Swiss DCF Model v1.0.0&amp;C&amp;"Arial"&amp;8&amp;A&amp;R&amp;"Arial"&amp;8Page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G33"/>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5" style="1" customWidth="1"/>
    <col min="3" max="3" width="50" style="1" customWidth="1"/>
    <col min="4" max="4" width="11" style="1" customWidth="1"/>
    <col min="5" max="5" width="10" style="1" customWidth="1"/>
    <col min="6" max="6" width="38" style="1" customWidth="1"/>
    <col min="7" max="7" width="76" style="1" customWidth="1"/>
  </cols>
  <sheetData>
    <row r="1" ht="21" customHeight="1" spans="2:7" x14ac:dyDescent="0.25">
      <c r="B1" s="2" t="s">
        <v>37</v>
      </c>
      <c r="C1" s="3"/>
      <c r="D1" s="3"/>
      <c r="E1" s="3"/>
      <c r="F1" s="3"/>
      <c r="G1" s="3"/>
    </row>
    <row r="2" ht="16" customHeight="1" spans="2:2" x14ac:dyDescent="0.25">
      <c r="B2" s="4">
        <f>IF(Company_Name="","Company not specified",Company_Name)&amp;"   |   CHF m unless stated otherwise   |   Scenario: "&amp;IF(Build_Flag=1,Scenario,"not used (direct FCF)")&amp;"   |   Checks: "&amp;Check_Status</f>
      </c>
    </row>
    <row r="4" ht="18" customHeight="1" spans="2:7" x14ac:dyDescent="0.25">
      <c r="B4" s="5" t="s">
        <v>237</v>
      </c>
      <c r="C4" s="6"/>
      <c r="D4" s="6"/>
      <c r="E4" s="6"/>
      <c r="F4" s="6"/>
      <c r="G4" s="6"/>
    </row>
    <row r="5" spans="3:4" x14ac:dyDescent="0.25">
      <c r="C5" s="8" t="s">
        <v>238</v>
      </c>
      <c r="D5" s="25">
        <f>IF(AND(COUNT(TGR,Shares,Share_Price)=3,IF(Build_Flag=1,COUNT(Base_Revenue,Tax_Rate,DA_Pct,Capex_Pct,NWC_Pct)=5,COUNT(Base_FCF,FCF_Growth)=2),IF(Build_Flag=1,CHOOSE(Scenario_No,COUNT(Inputs!$F$38:$J$38),COUNT(Inputs!$F$39:$J$39),COUNT(Inputs!$F$40:$J$40))+CHOOSE(Scenario_No,COUNT(Inputs!$F$44:$J$44),COUNT(Inputs!$F$45:$J$45),COUNT(Inputs!$F$46:$J$46))=10,TRUE),IF(WACC_Source="CAPM",AND(COUNT(Rf,Beta_Input,MRP)=3,COUNT(Cost_Of_Debt,Target_DV,Tax_Rate)=3),COUNT(WACC_Direct)=1),IF(Exit_Flag=1,CHOOSE(Scenario_No,COUNT(Inputs!$E$50),COUNT(Inputs!$E$51),COUNT(Inputs!$E$52))=1,TRUE)),1,0)</f>
      </c>
    </row>
    <row r="6" spans="3:4" x14ac:dyDescent="0.25">
      <c r="C6" s="8" t="s">
        <v>239</v>
      </c>
      <c r="D6" s="25">
        <f>IF(AND(Inputs_Complete=1,N(Shares)&gt;0),1,0)</f>
      </c>
    </row>
    <row r="7" spans="3:4" x14ac:dyDescent="0.25">
      <c r="C7" s="8" t="s">
        <v>240</v>
      </c>
      <c r="D7" s="25">
        <f>IF(AND(Inputs_OK=1,IF(Exit_Flag=1,Build_Flag=1,TGR&lt;WACC)),1,0)</f>
      </c>
    </row>
    <row r="9" ht="18" customHeight="1" spans="2:7" x14ac:dyDescent="0.25">
      <c r="B9" s="5" t="s">
        <v>37</v>
      </c>
      <c r="C9" s="6"/>
      <c r="D9" s="6"/>
      <c r="E9" s="6"/>
      <c r="F9" s="6"/>
      <c r="G9" s="6"/>
    </row>
    <row r="10" spans="2:7" x14ac:dyDescent="0.25">
      <c r="B10" s="78" t="s">
        <v>241</v>
      </c>
      <c r="C10" s="78" t="s">
        <v>242</v>
      </c>
      <c r="D10" s="79" t="s">
        <v>94</v>
      </c>
      <c r="E10" s="80" t="s">
        <v>207</v>
      </c>
      <c r="F10" s="78" t="s">
        <v>243</v>
      </c>
      <c r="G10" s="78" t="s">
        <v>244</v>
      </c>
    </row>
    <row r="11" spans="2:7" x14ac:dyDescent="0.25">
      <c r="B11" s="25">
        <f>1</f>
      </c>
      <c r="C11" s="8" t="s">
        <v>245</v>
      </c>
      <c r="D11" s="25">
        <f>Inputs_Complete</f>
      </c>
      <c r="E11" s="81">
        <f>IF(Inputs_Complete=1,"OK","MISSING")</f>
      </c>
      <c r="F11" s="51" t="s">
        <v>246</v>
      </c>
      <c r="G11" s="9">
        <f>IF(OR(E11="WARNING",E11="ERROR",E11="INFO",E11="MISSING"),"Fill in the blue cells needed for the chosen switches on Inputs","")</f>
      </c>
    </row>
    <row r="12" spans="2:7" x14ac:dyDescent="0.25">
      <c r="B12" s="25">
        <f>B11+1</f>
      </c>
      <c r="C12" s="8" t="s">
        <v>247</v>
      </c>
      <c r="D12" s="42">
        <f>Shares</f>
      </c>
      <c r="E12" s="81">
        <f>IF(Inputs_Complete=0,"n/a",IF(N(Shares)&gt;0,"OK","ERROR"))</f>
      </c>
      <c r="F12" s="51" t="s">
        <v>248</v>
      </c>
      <c r="G12" s="9">
        <f>IF(OR(E12="WARNING",E12="ERROR",E12="INFO",E12="MISSING"),"Enter a positive number of shares","")</f>
      </c>
    </row>
    <row r="13" spans="2:7" x14ac:dyDescent="0.25">
      <c r="B13" s="25">
        <f>B12+1</f>
      </c>
      <c r="C13" s="8" t="s">
        <v>249</v>
      </c>
      <c r="D13" s="53">
        <f>WACC-TGR</f>
      </c>
      <c r="E13" s="81">
        <f>IF(Exit_Flag=1,"n/a",IF(Inputs_Complete=0,"n/a",IF(TGR&lt;WACC,"OK","ERROR")))</f>
      </c>
      <c r="F13" s="51" t="s">
        <v>250</v>
      </c>
      <c r="G13" s="9">
        <f>IF(OR(E13="WARNING",E13="ERROR",E13="INFO",E13="MISSING"),"Terminal growth must be below the WACC, otherwise the value is infinite","")</f>
      </c>
    </row>
    <row r="14" spans="2:7" x14ac:dyDescent="0.25">
      <c r="B14" s="25">
        <f>B13+1</f>
      </c>
      <c r="C14" s="8" t="s">
        <v>251</v>
      </c>
      <c r="D14" s="57">
        <f>Build_Flag</f>
      </c>
      <c r="E14" s="81">
        <f>IF(Exit_Flag=0,"n/a",IF(Inputs_Complete=0,"n/a",IF(Build_Flag=1,"OK","ERROR")))</f>
      </c>
      <c r="F14" s="51" t="s">
        <v>252</v>
      </c>
      <c r="G14" s="9">
        <f>IF(OR(E14="WARNING",E14="ERROR",E14="INFO",E14="MISSING"),"The exit multiple needs EBITDA: set the FCF source to Build","")</f>
      </c>
    </row>
    <row r="15" spans="2:7" x14ac:dyDescent="0.25">
      <c r="B15" s="25">
        <f>B14+1</f>
      </c>
      <c r="C15" s="8" t="s">
        <v>253</v>
      </c>
      <c r="D15" s="53">
        <f>TGR-Rf</f>
      </c>
      <c r="E15" s="81">
        <f>IF(Exit_Flag=1,"n/a",IF(Inputs_Complete=0,"n/a",IF(TGR&lt;=Rf,"OK","INFO")))</f>
      </c>
      <c r="F15" s="51" t="s">
        <v>254</v>
      </c>
      <c r="G15" s="9">
        <f>IF(OR(E15="WARNING",E15="ERROR",E15="INFO",E15="MISSING"),"Swiss risk-free rate currently very low. Many practitioners use a normalised rate","")</f>
      </c>
    </row>
    <row r="16" spans="2:7" x14ac:dyDescent="0.25">
      <c r="B16" s="25">
        <f>B15+1</f>
      </c>
      <c r="C16" s="8" t="s">
        <v>255</v>
      </c>
      <c r="D16" s="41">
        <f>WACC!E8+WACC!E9</f>
      </c>
      <c r="E16" s="81">
        <f>IF(Inputs_Complete=0,"n/a",IF(ABS(WACC!E8+WACC!E9-1)&lt;Check_Tolerance,"OK","ERROR"))</f>
      </c>
      <c r="F16" s="51" t="s">
        <v>256</v>
      </c>
      <c r="G16" s="9">
        <f>IF(OR(E16="WARNING",E16="ERROR",E16="INFO",E16="MISSING"),"Debt and equity weights do not add up to 100%","")</f>
      </c>
    </row>
    <row r="17" spans="2:7" x14ac:dyDescent="0.25">
      <c r="B17" s="25">
        <f>B16+1</f>
      </c>
      <c r="C17" s="8" t="s">
        <v>257</v>
      </c>
      <c r="D17" s="57">
        <f>Scenario_No</f>
      </c>
      <c r="E17" s="81">
        <f>IF(OR(Scenario="Bear",Scenario="Base",Scenario="Bull"),"OK","ERROR")</f>
      </c>
      <c r="F17" s="51" t="s">
        <v>258</v>
      </c>
      <c r="G17" s="9">
        <f>IF(OR(E17="WARNING",E17="ERROR",E17="INFO",E17="MISSING"),"Choose Bear, Base or Bull on Inputs","")</f>
      </c>
    </row>
    <row r="18" spans="2:7" x14ac:dyDescent="0.25">
      <c r="B18" s="25">
        <f>B17+1</f>
      </c>
      <c r="C18" s="8" t="s">
        <v>259</v>
      </c>
      <c r="D18" s="57">
        <f>Forecast_Years</f>
      </c>
      <c r="E18" s="81">
        <f>IF(OR(Forecast_Years=5,Forecast_Years=10),"OK","ERROR")</f>
      </c>
      <c r="F18" s="51" t="s">
        <v>260</v>
      </c>
      <c r="G18" s="9">
        <f>IF(OR(E18="WARNING",E18="ERROR",E18="INFO",E18="MISSING"),"Choose 5 or 10 years on Inputs","")</f>
      </c>
    </row>
    <row r="19" spans="2:7" x14ac:dyDescent="0.25">
      <c r="B19" s="25">
        <f>B18+1</f>
      </c>
      <c r="C19" s="8" t="s">
        <v>261</v>
      </c>
      <c r="D19" s="43">
        <f>Enterprise_Value-(SUMPRODUCT(FCF_Used,In_Forecast,1/(1+WACC)^Disc_Period)+PV_TV)</f>
      </c>
      <c r="E19" s="81">
        <f>IF(Inputs_Complete=0,"n/a",IF(ABS(D19)&lt;Check_Tolerance,"OK","ERROR"))</f>
      </c>
      <c r="F19" s="51" t="s">
        <v>262</v>
      </c>
      <c r="G19" s="9">
        <f>IF(OR(E19="WARNING",E19="ERROR",E19="INFO",E19="MISSING"),"The enterprise value does not add up: the model has been changed","")</f>
      </c>
    </row>
    <row r="20" spans="2:7" x14ac:dyDescent="0.25">
      <c r="B20" s="25">
        <f>B19+1</f>
      </c>
      <c r="C20" s="8" t="s">
        <v>263</v>
      </c>
      <c r="D20" s="43">
        <f>Equity_Value-(Enterprise_Value+Cash-Debt-Minorities+Investments-Pensions)</f>
      </c>
      <c r="E20" s="81">
        <f>IF(Inputs_Complete=0,"n/a",IF(ABS(D20)&lt;Check_Tolerance,"OK","ERROR"))</f>
      </c>
      <c r="F20" s="51" t="s">
        <v>262</v>
      </c>
      <c r="G20" s="9">
        <f>IF(OR(E20="WARNING",E20="ERROR",E20="INFO",E20="MISSING"),"The equity bridge does not add up: the model has been changed","")</f>
      </c>
    </row>
    <row r="21" spans="2:7" x14ac:dyDescent="0.25">
      <c r="B21" s="25">
        <f>B20+1</f>
      </c>
      <c r="C21" s="8" t="s">
        <v>264</v>
      </c>
      <c r="D21" s="65">
        <f>IF(Model_Valid=1,IF(Exit_Flag=1,Sensitivities!F17,Sensitivities!F8)-Value_Per_Share,0)</f>
      </c>
      <c r="E21" s="81">
        <f>IF(Inputs_Complete=0,"n/a",IF(ABS(D21)&lt;Check_Tolerance,"OK","ERROR"))</f>
      </c>
      <c r="F21" s="51" t="s">
        <v>265</v>
      </c>
      <c r="G21" s="9">
        <f>IF(OR(E21="WARNING",E21="ERROR",E21="INFO",E21="MISSING"),"The sensitivity table does not match the DCF result: the model has been changed","")</f>
      </c>
    </row>
    <row r="22" spans="2:7" x14ac:dyDescent="0.25">
      <c r="B22" s="25">
        <f>B21+1</f>
      </c>
      <c r="C22" s="8" t="s">
        <v>266</v>
      </c>
      <c r="D22" s="65">
        <f>IF(ISNUMBER(Implied_Growth),Implied_Growth_Diff,0)</f>
      </c>
      <c r="E22" s="81">
        <f>IF(Inputs_Complete=0,"n/a",IF(ABS(D22)&lt;Reverse_Tolerance,"OK","ERROR"))</f>
      </c>
      <c r="F22" s="51" t="s">
        <v>267</v>
      </c>
      <c r="G22" s="9">
        <f>IF(OR(E22="WARNING",E22="ERROR",E22="INFO",E22="MISSING"),"The growth search did not converge, see sheet Reverse DCF","")</f>
      </c>
    </row>
    <row r="23" spans="2:7" x14ac:dyDescent="0.25">
      <c r="B23" s="25">
        <f>B22+1</f>
      </c>
      <c r="C23" s="8" t="s">
        <v>268</v>
      </c>
      <c r="D23" s="65">
        <f>IF(ISNUMBER(Implied_WACC),Implied_WACC_Diff,0)</f>
      </c>
      <c r="E23" s="81">
        <f>IF(Inputs_Complete=0,"n/a",IF(ABS(D23)&lt;Reverse_Tolerance,"OK","ERROR"))</f>
      </c>
      <c r="F23" s="51" t="s">
        <v>267</v>
      </c>
      <c r="G23" s="9">
        <f>IF(OR(E23="WARNING",E23="ERROR",E23="INFO",E23="MISSING"),"The WACC search did not converge, see sheet Reverse DCF","")</f>
      </c>
    </row>
    <row r="24" spans="2:7" x14ac:dyDescent="0.25">
      <c r="B24" s="25">
        <f>B23+1</f>
      </c>
      <c r="C24" s="8" t="s">
        <v>269</v>
      </c>
      <c r="D24" s="40">
        <f>TV_Share</f>
      </c>
      <c r="E24" s="81">
        <f>IF(Inputs_Complete=0,"n/a",IF(TV_Share&lt;=TV_Share_Limit,"OK","WARNING"))</f>
      </c>
      <c r="F24" s="51" t="s">
        <v>270</v>
      </c>
      <c r="G24" s="9">
        <f>IF(OR(E24="WARNING",E24="ERROR",E24="INFO",E24="MISSING"),"The value depends mostly on the terminal value","")</f>
      </c>
    </row>
    <row r="25" spans="2:7" x14ac:dyDescent="0.25">
      <c r="B25" s="25">
        <f>B24+1</f>
      </c>
      <c r="C25" s="8" t="s">
        <v>271</v>
      </c>
      <c r="D25" s="25">
        <f>SUMPRODUCT((FCF_Used&lt;0)*In_Forecast)</f>
      </c>
      <c r="E25" s="81">
        <f>IF(Inputs_Complete=0,"n/a",IF(D25=0,"OK","WARNING"))</f>
      </c>
      <c r="F25" s="51" t="s">
        <v>272</v>
      </c>
      <c r="G25" s="9">
        <f>IF(OR(E25="WARNING",E25="ERROR",E25="INFO",E25="MISSING"),"At least one forecast year has a negative free cash flow","")</f>
      </c>
    </row>
    <row r="26" spans="2:7" x14ac:dyDescent="0.25">
      <c r="B26" s="25">
        <f>B25+1</f>
      </c>
      <c r="C26" s="8" t="s">
        <v>273</v>
      </c>
      <c r="D26" s="42">
        <f>Equity_Value</f>
      </c>
      <c r="E26" s="81">
        <f>IF(Inputs_Complete=0,"n/a",IF(Equity_Value&gt;0,"OK","WARNING"))</f>
      </c>
      <c r="F26" s="51" t="s">
        <v>274</v>
      </c>
      <c r="G26" s="9">
        <f>IF(OR(E26="WARNING",E26="ERROR",E26="INFO",E26="MISSING"),"Debt and other claims exceed the value of the business","")</f>
      </c>
    </row>
    <row r="27" spans="2:7" x14ac:dyDescent="0.25">
      <c r="B27" s="25">
        <f>B26+1</f>
      </c>
      <c r="C27" s="8" t="s">
        <v>275</v>
      </c>
      <c r="D27" s="25">
        <f>SUMPRODUCT(--ISERROR('FCF Build'!E4:O30))+SUMPRODUCT(--ISERROR(DCF!E4:O46))+SUMPRODUCT(--ISERROR(Sensitivities!C5:H28))+SUMPRODUCT(--ISERROR('Reverse DCF'!B8:X16))</f>
      </c>
      <c r="E27" s="81">
        <f>IF(D27=0,"OK","ERROR")</f>
      </c>
      <c r="F27" s="51" t="s">
        <v>276</v>
      </c>
      <c r="G27" s="9">
        <f>IF(OR(E27="WARNING",E27="ERROR",E27="INFO",E27="MISSING"),"Some cells show error values","")</f>
      </c>
    </row>
    <row r="28" spans="2:7" x14ac:dyDescent="0.25">
      <c r="B28" s="25">
        <f>B27+1</f>
      </c>
      <c r="C28" s="8" t="s">
        <v>277</v>
      </c>
      <c r="D28" s="57">
        <f>Build_Flag</f>
      </c>
      <c r="E28" s="81">
        <f>IF(Build_Flag=1,"OK","INFO")</f>
      </c>
      <c r="F28" s="51" t="s">
        <v>252</v>
      </c>
      <c r="G28" s="9">
        <f>IF(OR(E28="WARNING",E28="ERROR",E28="INFO",E28="MISSING"),"With direct FCF input the scenarios have no effect","")</f>
      </c>
    </row>
    <row r="30" ht="18" customHeight="1" spans="2:7" x14ac:dyDescent="0.25">
      <c r="B30" s="5" t="s">
        <v>278</v>
      </c>
      <c r="C30" s="6"/>
      <c r="D30" s="6"/>
      <c r="E30" s="6"/>
      <c r="F30" s="6"/>
      <c r="G30" s="6"/>
    </row>
    <row r="31" spans="3:4" x14ac:dyDescent="0.25">
      <c r="C31" s="8" t="s">
        <v>279</v>
      </c>
      <c r="D31" s="25">
        <f>COUNTIF(E11:E28,"ERROR")</f>
      </c>
    </row>
    <row r="32" spans="3:4" x14ac:dyDescent="0.25">
      <c r="C32" s="8" t="s">
        <v>280</v>
      </c>
      <c r="D32" s="25">
        <f>COUNTIF(E11:E28,"WARNING")</f>
      </c>
    </row>
    <row r="33" spans="3:4" x14ac:dyDescent="0.25">
      <c r="C33" s="77" t="s">
        <v>281</v>
      </c>
      <c r="D33" s="9">
        <f>IF(Inputs_Complete=0,"Inputs missing",IF(Check_Errors=0,IF(Check_Warnings=0,"All checks OK","All checks OK, "&amp;Check_Warnings&amp;IF(Check_Warnings=1," warning"," warnings")),Check_Errors&amp;IF(Check_Errors=1," check failed"," checks failed")))</f>
      </c>
    </row>
  </sheetData>
  <conditionalFormatting sqref="E11:E28 G11:G28">
    <cfRule type="expression" dxfId="13" priority="1">
      <formula>OR($E11="ERROR",$E11="MISSING")</formula>
    </cfRule>
    <cfRule type="expression" dxfId="14" priority="2">
      <formula>$E11="WARNING"</formula>
    </cfRule>
    <cfRule type="expression" dxfId="15" priority="3">
      <formula>$E11="INFO"</formula>
    </cfRule>
  </conditionalFormatting>
  <pageMargins left="0.5" right="0.5" top="0.6" bottom="0.6" header="0.3" footer="0.3"/>
  <pageSetup paperSize="9" orientation="landscape" fitToWidth="1" fitToHeight="1"/>
  <headerFooter>
    <oddFooter>&amp;L&amp;"Arial"&amp;8Swiss DCF Model v1.0.0&amp;C&amp;"Arial"&amp;8&amp;A&amp;R&amp;"Arial"&amp;8Page &amp;P of &amp;N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E15"/>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48" style="1" customWidth="1"/>
    <col min="3" max="3" width="12" style="1" customWidth="1"/>
    <col min="4" max="4" width="2" style="1" customWidth="1"/>
    <col min="5" max="5" width="14" style="1" customWidth="1"/>
  </cols>
  <sheetData>
    <row r="1" ht="21" customHeight="1" spans="2:5" x14ac:dyDescent="0.25">
      <c r="B1" s="2" t="s">
        <v>39</v>
      </c>
      <c r="C1" s="3"/>
      <c r="D1" s="3"/>
      <c r="E1" s="3"/>
    </row>
    <row r="2" ht="16" customHeight="1" spans="2:2" x14ac:dyDescent="0.25">
      <c r="B2" s="4">
        <f>IF(Company_Name="","Company not specified",Company_Name)&amp;"   |   CHF m unless stated otherwise   |   Scenario: "&amp;IF(Build_Flag=1,Scenario,"not used (direct FCF)")&amp;"   |   Checks: "&amp;Check_Status</f>
      </c>
    </row>
    <row r="4" ht="18" customHeight="1" spans="2:5" x14ac:dyDescent="0.25">
      <c r="B4" s="5" t="s">
        <v>282</v>
      </c>
      <c r="C4" s="6"/>
      <c r="D4" s="6"/>
      <c r="E4" s="6"/>
    </row>
    <row r="5" spans="2:5" x14ac:dyDescent="0.25">
      <c r="B5" s="1" t="s">
        <v>283</v>
      </c>
      <c r="C5" s="7" t="s">
        <v>88</v>
      </c>
      <c r="E5" s="35">
        <v>0.005</v>
      </c>
    </row>
    <row r="6" spans="2:5" x14ac:dyDescent="0.25">
      <c r="B6" s="1" t="s">
        <v>284</v>
      </c>
      <c r="C6" s="7" t="s">
        <v>88</v>
      </c>
      <c r="E6" s="35">
        <v>0.005</v>
      </c>
    </row>
    <row r="7" spans="2:5" x14ac:dyDescent="0.25">
      <c r="B7" s="1" t="s">
        <v>285</v>
      </c>
      <c r="C7" s="7" t="s">
        <v>106</v>
      </c>
      <c r="E7" s="33">
        <v>1</v>
      </c>
    </row>
    <row r="8" spans="2:5" x14ac:dyDescent="0.25">
      <c r="B8" s="1" t="s">
        <v>286</v>
      </c>
      <c r="C8" s="7" t="s">
        <v>88</v>
      </c>
      <c r="E8" s="27">
        <v>-0.5</v>
      </c>
    </row>
    <row r="9" spans="2:5" x14ac:dyDescent="0.25">
      <c r="B9" s="1" t="s">
        <v>287</v>
      </c>
      <c r="C9" s="7" t="s">
        <v>88</v>
      </c>
      <c r="E9" s="27">
        <v>1</v>
      </c>
    </row>
    <row r="10" spans="2:5" x14ac:dyDescent="0.25">
      <c r="B10" s="1" t="s">
        <v>288</v>
      </c>
      <c r="C10" s="7" t="s">
        <v>88</v>
      </c>
      <c r="E10" s="27">
        <v>0.01</v>
      </c>
    </row>
    <row r="11" spans="2:5" x14ac:dyDescent="0.25">
      <c r="B11" s="1" t="s">
        <v>289</v>
      </c>
      <c r="C11" s="7" t="s">
        <v>88</v>
      </c>
      <c r="E11" s="27">
        <v>0.3</v>
      </c>
    </row>
    <row r="12" spans="2:5" x14ac:dyDescent="0.25">
      <c r="B12" s="1" t="s">
        <v>290</v>
      </c>
      <c r="C12" s="7" t="s">
        <v>88</v>
      </c>
      <c r="E12" s="35">
        <v>0.001</v>
      </c>
    </row>
    <row r="13" spans="2:5" x14ac:dyDescent="0.25">
      <c r="B13" s="1" t="s">
        <v>291</v>
      </c>
      <c r="E13" s="82">
        <v>0.000001</v>
      </c>
    </row>
    <row r="14" spans="2:5" x14ac:dyDescent="0.25">
      <c r="B14" s="1" t="s">
        <v>292</v>
      </c>
      <c r="C14" s="7" t="s">
        <v>55</v>
      </c>
      <c r="E14" s="83">
        <v>0.0001</v>
      </c>
    </row>
    <row r="15" spans="2:5" x14ac:dyDescent="0.25">
      <c r="B15" s="1" t="s">
        <v>293</v>
      </c>
      <c r="C15" s="7" t="s">
        <v>88</v>
      </c>
      <c r="E15" s="27">
        <v>0.75</v>
      </c>
    </row>
  </sheetData>
  <pageMargins left="0.5" right="0.5" top="0.6" bottom="0.6" header="0.3" footer="0.3"/>
  <pageSetup paperSize="9" orientation="portrait" fitToWidth="1" fitToHeight="1"/>
  <headerFooter>
    <oddFooter>&amp;L&amp;"Arial"&amp;8Swiss DCF Model v1.0.0&amp;C&amp;"Arial"&amp;8&amp;A&amp;R&amp;"Arial"&amp;8Page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Inputs</vt:lpstr>
      <vt:lpstr>FCF Build</vt:lpstr>
      <vt:lpstr>WACC</vt:lpstr>
      <vt:lpstr>DCF</vt:lpstr>
      <vt:lpstr>Sensitivities</vt:lpstr>
      <vt:lpstr>Reverse DCF</vt:lpstr>
      <vt:lpstr>Checks</vt:lpstr>
      <vt:lpstr>Settings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Noel Walpert, noelwalpert.com</dc:creator>
  <dc:title>Swiss DCF Model</dc:title>
  <dc:subject/>
  <dc:description/>
  <cp:keywords/>
  <cp:category/>
  <cp:lastModifiedBy>Unknown</cp:lastModifiedBy>
  <dcterms:created xsi:type="dcterms:W3CDTF">2026-10-19T22:00:00Z</dcterms:created>
  <dcterms:modified xsi:type="dcterms:W3CDTF">2026-10-19T22:00:00Z</dcterms:modified>
</cp:coreProperties>
</file>